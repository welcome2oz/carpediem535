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1_해상물류비_Raw_Data" sheetId="1" state="visible" r:id="rId1"/>
    <sheet xmlns:r="http://schemas.openxmlformats.org/officeDocument/2006/relationships" name="2_관세_및_AD_CVD_Raw_Data" sheetId="2" state="visible" r:id="rId2"/>
    <sheet xmlns:r="http://schemas.openxmlformats.org/officeDocument/2006/relationships" name="3_목적지_인근항구_매핑기준" sheetId="3" state="visible" r:id="rId3"/>
    <sheet xmlns:r="http://schemas.openxmlformats.org/officeDocument/2006/relationships" name="4_보세구역_AD면제규정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\$#,##0.00"/>
  </numFmts>
  <fonts count="22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4"/>
    </font>
    <font>
      <name val="Calibri"/>
      <charset val="1"/>
      <family val="0"/>
      <b val="1"/>
      <color rgb="FFFFFFFF"/>
      <sz val="14"/>
    </font>
    <font>
      <name val="Noto Sans CJK SC"/>
      <family val="2"/>
      <i val="1"/>
      <color rgb="FF1E293B"/>
      <sz val="9"/>
    </font>
    <font>
      <name val="Calibri"/>
      <charset val="1"/>
      <family val="0"/>
      <i val="1"/>
      <color rgb="FF1E293B"/>
      <sz val="9"/>
    </font>
    <font>
      <name val="Noto Sans CJK SC"/>
      <family val="2"/>
      <b val="1"/>
      <color rgb="FFFFFFFF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F172A"/>
      <sz val="10"/>
    </font>
    <font>
      <name val="Noto Sans CJK SC"/>
      <family val="2"/>
      <color rgb="FF0F172A"/>
      <sz val="10"/>
    </font>
    <font>
      <name val="Calibri"/>
      <charset val="1"/>
      <family val="0"/>
      <b val="1"/>
      <color rgb="FF0F172A"/>
      <sz val="10"/>
    </font>
    <font>
      <name val="Noto Sans CJK SC"/>
      <family val="2"/>
      <b val="1"/>
      <color rgb="FF0F172A"/>
      <sz val="10"/>
    </font>
    <font>
      <name val="Calibri"/>
      <charset val="1"/>
      <family val="0"/>
      <b val="1"/>
      <color rgb="FFBE123C"/>
      <sz val="10"/>
    </font>
    <font>
      <name val="Noto Sans CJK SC"/>
      <family val="2"/>
      <b val="1"/>
      <color rgb="FFBE123C"/>
      <sz val="10"/>
    </font>
    <font>
      <name val="Malgun Gothic"/>
      <b val="1"/>
      <color rgb="00FFFFFF"/>
      <sz val="13"/>
    </font>
    <font>
      <name val="Malgun Gothic"/>
      <b val="1"/>
      <color rgb="00FFFFFF"/>
      <sz val="10"/>
    </font>
    <font>
      <name val="Malgun Gothic"/>
      <b val="1"/>
      <color rgb="00111111"/>
      <sz val="9.5"/>
    </font>
    <font>
      <name val="Malgun Gothic"/>
      <color rgb="00111111"/>
      <sz val="9.5"/>
    </font>
    <font>
      <name val="Malgun Gothic"/>
      <b val="1"/>
      <color rgb="0000664E"/>
      <sz val="9.5"/>
    </font>
    <font>
      <name val="Malgun Gothic"/>
      <b val="1"/>
      <color rgb="00A50034"/>
      <sz val="9.5"/>
    </font>
  </fonts>
  <fills count="12">
    <fill>
      <patternFill/>
    </fill>
    <fill>
      <patternFill patternType="gray125"/>
    </fill>
    <fill>
      <patternFill patternType="solid">
        <fgColor rgb="FF1B365D"/>
        <bgColor rgb="FF1E293B"/>
      </patternFill>
    </fill>
    <fill>
      <patternFill patternType="solid">
        <fgColor rgb="FFE8EEF5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1F2"/>
        <bgColor rgb="FFF7F9FC"/>
      </patternFill>
    </fill>
    <fill>
      <patternFill patternType="solid">
        <fgColor rgb="00111111"/>
      </patternFill>
    </fill>
    <fill>
      <patternFill patternType="solid">
        <fgColor rgb="00A50034"/>
      </patternFill>
    </fill>
    <fill>
      <patternFill patternType="solid">
        <fgColor rgb="00FFFFFF"/>
      </patternFill>
    </fill>
    <fill>
      <patternFill patternType="solid">
        <fgColor rgb="00E6F4F0"/>
      </patternFill>
    </fill>
    <fill>
      <patternFill patternType="solid">
        <fgColor rgb="00FAF9F6"/>
      </patternFill>
    </fill>
    <fill>
      <patternFill patternType="solid">
        <fgColor rgb="00FDF2F5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00D4D2CC"/>
      </left>
      <right style="thin">
        <color rgb="00D4D2CC"/>
      </right>
      <top style="thin">
        <color rgb="00D4D2CC"/>
      </top>
      <bottom style="thin">
        <color rgb="00D4D2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10" fontId="12" fillId="0" borderId="1" applyAlignment="1" pivotButton="0" quotePrefix="0" xfId="0">
      <alignment horizontal="right" vertical="center"/>
    </xf>
    <xf numFmtId="10" fontId="10" fillId="4" borderId="1" applyAlignment="1" pivotButton="0" quotePrefix="0" xfId="0">
      <alignment horizontal="right" vertical="center"/>
    </xf>
    <xf numFmtId="10" fontId="12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10" fontId="12" fillId="5" borderId="1" applyAlignment="1" pivotButton="0" quotePrefix="0" xfId="0">
      <alignment horizontal="right" vertical="center"/>
    </xf>
    <xf numFmtId="10" fontId="14" fillId="5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10" fontId="12" fillId="0" borderId="1" applyAlignment="1" pivotButton="0" quotePrefix="0" xfId="0">
      <alignment horizontal="right" vertical="center"/>
    </xf>
    <xf numFmtId="10" fontId="10" fillId="4" borderId="1" applyAlignment="1" pivotButton="0" quotePrefix="0" xfId="0">
      <alignment horizontal="right" vertical="center"/>
    </xf>
    <xf numFmtId="10" fontId="12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10" fontId="12" fillId="5" borderId="1" applyAlignment="1" pivotButton="0" quotePrefix="0" xfId="0">
      <alignment horizontal="right" vertical="center"/>
    </xf>
    <xf numFmtId="10" fontId="14" fillId="5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 indent="1"/>
    </xf>
    <xf numFmtId="0" fontId="17" fillId="7" borderId="2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left" vertical="center" wrapText="1"/>
    </xf>
    <xf numFmtId="0" fontId="18" fillId="10" borderId="2" applyAlignment="1" pivotButton="0" quotePrefix="0" xfId="0">
      <alignment horizontal="left" vertical="center" wrapText="1"/>
    </xf>
    <xf numFmtId="0" fontId="19" fillId="10" borderId="2" applyAlignment="1" pivotButton="0" quotePrefix="0" xfId="0">
      <alignment horizontal="left" vertical="center" wrapText="1"/>
    </xf>
    <xf numFmtId="0" fontId="21" fillId="11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123C"/>
      <rgbColor rgb="FFFFF1F2"/>
      <rgbColor rgb="FFE8EEF5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F172A"/>
      <rgbColor rgb="FF333300"/>
      <rgbColor rgb="FF993300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R5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1" min="1" max="1"/>
    <col width="12" customWidth="1" style="31" min="2" max="3"/>
    <col width="30" customWidth="1" style="31" min="4" max="4"/>
    <col width="12" customWidth="1" style="31" min="5" max="5"/>
    <col width="14" customWidth="1" style="31" min="6" max="6"/>
    <col width="33" customWidth="1" style="31" min="7" max="7"/>
    <col width="38" customWidth="1" style="31" min="8" max="8"/>
    <col width="17" customWidth="1" style="31" min="9" max="9"/>
    <col width="23" customWidth="1" style="31" min="10" max="10"/>
    <col width="26" customWidth="1" style="31" min="11" max="11"/>
    <col width="28" customWidth="1" style="31" min="12" max="12"/>
    <col width="23" customWidth="1" style="31" min="13" max="13"/>
    <col width="20" customWidth="1" style="31" min="14" max="14"/>
    <col width="22" customWidth="1" style="31" min="15" max="16"/>
    <col width="20" customWidth="1" style="31" min="17" max="17"/>
    <col width="19" customWidth="1" style="31" min="18" max="18"/>
  </cols>
  <sheetData>
    <row r="1" ht="25.5" customHeight="1" s="32">
      <c r="A1" s="33" t="inlineStr">
        <is>
          <t>글로벌 원재료 소싱 — 출발지(5개국) × 도착 거점(11개 인근항) 해상물류비 Raw Data (2026 Q4)</t>
        </is>
      </c>
    </row>
    <row r="2" ht="18.75" customHeight="1" s="32">
      <c r="A2" s="34" t="inlineStr">
        <is>
          <t>출처: Drewry World/Intra-Asia Container Index (WCI/IACI), 상하이컨테이너운임지수(SCFI), Freightos Baltic Index(FBX), Cogoport FCL Spot</t>
        </is>
      </c>
    </row>
    <row r="4" ht="25.5" customHeight="1" s="32">
      <c r="A4" s="35" t="inlineStr">
        <is>
          <t>구간ID</t>
        </is>
      </c>
      <c r="B4" s="35" t="inlineStr">
        <is>
          <t>출발국코드</t>
        </is>
      </c>
      <c r="C4" s="35" t="inlineStr">
        <is>
          <t>출발국가</t>
        </is>
      </c>
      <c r="D4" s="35" t="inlineStr">
        <is>
          <t>출발선적항(POL)</t>
        </is>
      </c>
      <c r="E4" s="35" t="inlineStr">
        <is>
          <t>도착거점코드</t>
        </is>
      </c>
      <c r="F4" s="35" t="inlineStr">
        <is>
          <t>도착법인거점</t>
        </is>
      </c>
      <c r="G4" s="35" t="inlineStr">
        <is>
          <t>최종목적지(공장)</t>
        </is>
      </c>
      <c r="H4" s="35" t="inlineStr">
        <is>
          <t>인근기준도착항(POD)</t>
        </is>
      </c>
      <c r="I4" s="36" t="inlineStr">
        <is>
          <t>UN_LOCODE</t>
        </is>
      </c>
      <c r="J4" s="35" t="inlineStr">
        <is>
          <t>항구-공장거리</t>
        </is>
      </c>
      <c r="K4" s="35" t="inlineStr">
        <is>
          <t>출처1_Drewry_SCFI($/Box)</t>
        </is>
      </c>
      <c r="L4" s="35" t="inlineStr">
        <is>
          <t>출처2_Freightos_FBX($/Box)</t>
        </is>
      </c>
      <c r="M4" s="35" t="inlineStr">
        <is>
          <t>출처3_Cogoport($/Box)</t>
        </is>
      </c>
      <c r="N4" s="36" t="inlineStr">
        <is>
          <t>3대지수_평균운임($/Box)</t>
        </is>
      </c>
      <c r="O4" s="36" t="inlineStr">
        <is>
          <t>Steel_24MT환산($/MT)</t>
        </is>
      </c>
      <c r="P4" s="36" t="inlineStr">
        <is>
          <t>Resin_22MT환산($/MT)</t>
        </is>
      </c>
      <c r="Q4" s="36" t="inlineStr">
        <is>
          <t>EPS_17MT환산($/MT)</t>
        </is>
      </c>
      <c r="R4" s="35" t="inlineStr">
        <is>
          <t>항구-공장내륙비($/Box)</t>
        </is>
      </c>
    </row>
    <row r="5" ht="15" customHeight="1" s="32">
      <c r="A5" s="37" t="inlineStr">
        <is>
          <t>KR-&gt;KR</t>
        </is>
      </c>
      <c r="B5" s="37" t="inlineStr">
        <is>
          <t>KR</t>
        </is>
      </c>
      <c r="C5" s="38" t="inlineStr">
        <is>
          <t>한국</t>
        </is>
      </c>
      <c r="D5" s="38" t="inlineStr">
        <is>
          <t>부산항 / 광양항 (KRPUS/KRKAN)</t>
        </is>
      </c>
      <c r="E5" s="37" t="inlineStr">
        <is>
          <t>KR</t>
        </is>
      </c>
      <c r="F5" s="38" t="inlineStr">
        <is>
          <t>한국 (부산)</t>
        </is>
      </c>
      <c r="G5" s="38" t="inlineStr">
        <is>
          <t>부산 (Busan)</t>
        </is>
      </c>
      <c r="H5" s="38" t="inlineStr">
        <is>
          <t>부산항 (Port of Busan)</t>
        </is>
      </c>
      <c r="I5" s="37" t="inlineStr">
        <is>
          <t>KRPUS</t>
        </is>
      </c>
      <c r="J5" s="39" t="inlineStr">
        <is>
          <t>25km (항만직결)</t>
        </is>
      </c>
      <c r="K5" s="40" t="n">
        <v>380</v>
      </c>
      <c r="L5" s="40" t="n">
        <v>410</v>
      </c>
      <c r="M5" s="40" t="n">
        <v>390</v>
      </c>
      <c r="N5" s="41">
        <f>AVERAGE(K5:M5)</f>
        <v/>
      </c>
      <c r="O5" s="42">
        <f>N5/24</f>
        <v/>
      </c>
      <c r="P5" s="42">
        <f>N5/22</f>
        <v/>
      </c>
      <c r="Q5" s="42">
        <f>N5/17</f>
        <v/>
      </c>
      <c r="R5" s="40" t="n">
        <v>220</v>
      </c>
    </row>
    <row r="6" ht="15" customHeight="1" s="32">
      <c r="A6" s="43" t="inlineStr">
        <is>
          <t>KR-&gt;CN</t>
        </is>
      </c>
      <c r="B6" s="43" t="inlineStr">
        <is>
          <t>KR</t>
        </is>
      </c>
      <c r="C6" s="44" t="inlineStr">
        <is>
          <t>한국</t>
        </is>
      </c>
      <c r="D6" s="44" t="inlineStr">
        <is>
          <t>부산항 / 광양항 (KRPUS/KRKAN)</t>
        </is>
      </c>
      <c r="E6" s="43" t="inlineStr">
        <is>
          <t>CN</t>
        </is>
      </c>
      <c r="F6" s="44" t="inlineStr">
        <is>
          <t>중국 (천진)</t>
        </is>
      </c>
      <c r="G6" s="44" t="inlineStr">
        <is>
          <t>천진 (Tianjin)</t>
        </is>
      </c>
      <c r="H6" s="44" t="inlineStr">
        <is>
          <t>천진 신강항 (Tianjin Xingang)</t>
        </is>
      </c>
      <c r="I6" s="43" t="inlineStr">
        <is>
          <t>CNTSN</t>
        </is>
      </c>
      <c r="J6" s="45" t="inlineStr">
        <is>
          <t>45km (항만직결)</t>
        </is>
      </c>
      <c r="K6" s="46" t="n">
        <v>540</v>
      </c>
      <c r="L6" s="46" t="n">
        <v>580</v>
      </c>
      <c r="M6" s="46" t="n">
        <v>520</v>
      </c>
      <c r="N6" s="47">
        <f>AVERAGE(K6:M6)</f>
        <v/>
      </c>
      <c r="O6" s="48">
        <f>N6/24</f>
        <v/>
      </c>
      <c r="P6" s="48">
        <f>N6/22</f>
        <v/>
      </c>
      <c r="Q6" s="48">
        <f>N6/17</f>
        <v/>
      </c>
      <c r="R6" s="46" t="n">
        <v>240</v>
      </c>
    </row>
    <row r="7" ht="15" customHeight="1" s="32">
      <c r="A7" s="37" t="inlineStr">
        <is>
          <t>KR-&gt;IN_NOI</t>
        </is>
      </c>
      <c r="B7" s="37" t="inlineStr">
        <is>
          <t>KR</t>
        </is>
      </c>
      <c r="C7" s="38" t="inlineStr">
        <is>
          <t>한국</t>
        </is>
      </c>
      <c r="D7" s="38" t="inlineStr">
        <is>
          <t>부산항 / 광양항 (KRPUS/KRKAN)</t>
        </is>
      </c>
      <c r="E7" s="37" t="inlineStr">
        <is>
          <t>IN_NOI</t>
        </is>
      </c>
      <c r="F7" s="38" t="inlineStr">
        <is>
          <t>인도 (노이다)</t>
        </is>
      </c>
      <c r="G7" s="38" t="inlineStr">
        <is>
          <t>노이다 (Noida, Delhi NCR)</t>
        </is>
      </c>
      <c r="H7" s="38" t="inlineStr">
        <is>
          <t>문드라항 (Mundra) + ICD 다드리</t>
        </is>
      </c>
      <c r="I7" s="37" t="inlineStr">
        <is>
          <t>INMUN-&gt;INDAD</t>
        </is>
      </c>
      <c r="J7" s="38" t="inlineStr">
        <is>
          <t>약 1,150km (철도ICD)</t>
        </is>
      </c>
      <c r="K7" s="40" t="n">
        <v>2480</v>
      </c>
      <c r="L7" s="40" t="n">
        <v>2620</v>
      </c>
      <c r="M7" s="40" t="n">
        <v>2410</v>
      </c>
      <c r="N7" s="41">
        <f>AVERAGE(K7:M7)</f>
        <v/>
      </c>
      <c r="O7" s="42">
        <f>N7/24</f>
        <v/>
      </c>
      <c r="P7" s="42">
        <f>N7/22</f>
        <v/>
      </c>
      <c r="Q7" s="42">
        <f>N7/17</f>
        <v/>
      </c>
      <c r="R7" s="40" t="n">
        <v>960</v>
      </c>
    </row>
    <row r="8" ht="15" customHeight="1" s="32">
      <c r="A8" s="43" t="inlineStr">
        <is>
          <t>KR-&gt;IN_PUN</t>
        </is>
      </c>
      <c r="B8" s="43" t="inlineStr">
        <is>
          <t>KR</t>
        </is>
      </c>
      <c r="C8" s="44" t="inlineStr">
        <is>
          <t>한국</t>
        </is>
      </c>
      <c r="D8" s="44" t="inlineStr">
        <is>
          <t>부산항 / 광양항 (KRPUS/KRKAN)</t>
        </is>
      </c>
      <c r="E8" s="43" t="inlineStr">
        <is>
          <t>IN_PUN</t>
        </is>
      </c>
      <c r="F8" s="44" t="inlineStr">
        <is>
          <t>인도 (푸네)</t>
        </is>
      </c>
      <c r="G8" s="44" t="inlineStr">
        <is>
          <t>푸네 (Pune, Maharashtra)</t>
        </is>
      </c>
      <c r="H8" s="44" t="inlineStr">
        <is>
          <t>나바셰바항 (JNPT Mumbai)</t>
        </is>
      </c>
      <c r="I8" s="43" t="inlineStr">
        <is>
          <t>INNSA</t>
        </is>
      </c>
      <c r="J8" s="45" t="inlineStr">
        <is>
          <t>150km (고속도로)</t>
        </is>
      </c>
      <c r="K8" s="46" t="n">
        <v>2320</v>
      </c>
      <c r="L8" s="46" t="n">
        <v>2450</v>
      </c>
      <c r="M8" s="46" t="n">
        <v>2260</v>
      </c>
      <c r="N8" s="47">
        <f>AVERAGE(K8:M8)</f>
        <v/>
      </c>
      <c r="O8" s="48">
        <f>N8/24</f>
        <v/>
      </c>
      <c r="P8" s="48">
        <f>N8/22</f>
        <v/>
      </c>
      <c r="Q8" s="48">
        <f>N8/17</f>
        <v/>
      </c>
      <c r="R8" s="46" t="n">
        <v>380</v>
      </c>
    </row>
    <row r="9" ht="15" customHeight="1" s="32">
      <c r="A9" s="37" t="inlineStr">
        <is>
          <t>KR-&gt;TH</t>
        </is>
      </c>
      <c r="B9" s="37" t="inlineStr">
        <is>
          <t>KR</t>
        </is>
      </c>
      <c r="C9" s="38" t="inlineStr">
        <is>
          <t>한국</t>
        </is>
      </c>
      <c r="D9" s="38" t="inlineStr">
        <is>
          <t>부산항 / 광양항 (KRPUS/KRKAN)</t>
        </is>
      </c>
      <c r="E9" s="37" t="inlineStr">
        <is>
          <t>TH</t>
        </is>
      </c>
      <c r="F9" s="38" t="inlineStr">
        <is>
          <t>태국 (람차방)</t>
        </is>
      </c>
      <c r="G9" s="38" t="inlineStr">
        <is>
          <t>람차방 / 라용 (Laem Chabang)</t>
        </is>
      </c>
      <c r="H9" s="38" t="inlineStr">
        <is>
          <t>람차방항 (Laem Chabang)</t>
        </is>
      </c>
      <c r="I9" s="37" t="inlineStr">
        <is>
          <t>THLCH</t>
        </is>
      </c>
      <c r="J9" s="39" t="inlineStr">
        <is>
          <t>30km (항만직결)</t>
        </is>
      </c>
      <c r="K9" s="40" t="n">
        <v>1420</v>
      </c>
      <c r="L9" s="40" t="n">
        <v>1510</v>
      </c>
      <c r="M9" s="40" t="n">
        <v>1380</v>
      </c>
      <c r="N9" s="41">
        <f>AVERAGE(K9:M9)</f>
        <v/>
      </c>
      <c r="O9" s="42">
        <f>N9/24</f>
        <v/>
      </c>
      <c r="P9" s="42">
        <f>N9/22</f>
        <v/>
      </c>
      <c r="Q9" s="42">
        <f>N9/17</f>
        <v/>
      </c>
      <c r="R9" s="40" t="n">
        <v>210</v>
      </c>
    </row>
    <row r="10" ht="15" customHeight="1" s="32">
      <c r="A10" s="43" t="inlineStr">
        <is>
          <t>KR-&gt;ID</t>
        </is>
      </c>
      <c r="B10" s="43" t="inlineStr">
        <is>
          <t>KR</t>
        </is>
      </c>
      <c r="C10" s="44" t="inlineStr">
        <is>
          <t>한국</t>
        </is>
      </c>
      <c r="D10" s="44" t="inlineStr">
        <is>
          <t>부산항 / 광양항 (KRPUS/KRKAN)</t>
        </is>
      </c>
      <c r="E10" s="43" t="inlineStr">
        <is>
          <t>ID</t>
        </is>
      </c>
      <c r="F10" s="44" t="inlineStr">
        <is>
          <t>인니 (자카르타)</t>
        </is>
      </c>
      <c r="G10" s="44" t="inlineStr">
        <is>
          <t>자카르타 (Jakarta / Cibitung)</t>
        </is>
      </c>
      <c r="H10" s="44" t="inlineStr">
        <is>
          <t>탄중프리옥항 (Tanjung Priok)</t>
        </is>
      </c>
      <c r="I10" s="43" t="inlineStr">
        <is>
          <t>IDJKT</t>
        </is>
      </c>
      <c r="J10" s="45" t="inlineStr">
        <is>
          <t>40km (수도권산단)</t>
        </is>
      </c>
      <c r="K10" s="46" t="n">
        <v>1680</v>
      </c>
      <c r="L10" s="46" t="n">
        <v>1750</v>
      </c>
      <c r="M10" s="46" t="n">
        <v>1620</v>
      </c>
      <c r="N10" s="47">
        <f>AVERAGE(K10:M10)</f>
        <v/>
      </c>
      <c r="O10" s="48">
        <f>N10/24</f>
        <v/>
      </c>
      <c r="P10" s="48">
        <f>N10/22</f>
        <v/>
      </c>
      <c r="Q10" s="48">
        <f>N10/17</f>
        <v/>
      </c>
      <c r="R10" s="46" t="n">
        <v>260</v>
      </c>
    </row>
    <row r="11" ht="15" customHeight="1" s="32">
      <c r="A11" s="37" t="inlineStr">
        <is>
          <t>KR-&gt;SA</t>
        </is>
      </c>
      <c r="B11" s="37" t="inlineStr">
        <is>
          <t>KR</t>
        </is>
      </c>
      <c r="C11" s="38" t="inlineStr">
        <is>
          <t>한국</t>
        </is>
      </c>
      <c r="D11" s="38" t="inlineStr">
        <is>
          <t>부산항 / 광양항 (KRPUS/KRKAN)</t>
        </is>
      </c>
      <c r="E11" s="37" t="inlineStr">
        <is>
          <t>SA</t>
        </is>
      </c>
      <c r="F11" s="38" t="inlineStr">
        <is>
          <t>사우디 (제다)</t>
        </is>
      </c>
      <c r="G11" s="38" t="inlineStr">
        <is>
          <t>제다 (Jeddah)</t>
        </is>
      </c>
      <c r="H11" s="38" t="inlineStr">
        <is>
          <t>제다 이슬람항 (Jeddah Islamic Port)</t>
        </is>
      </c>
      <c r="I11" s="37" t="inlineStr">
        <is>
          <t>SAJED</t>
        </is>
      </c>
      <c r="J11" s="39" t="inlineStr">
        <is>
          <t>25km (항만직결)</t>
        </is>
      </c>
      <c r="K11" s="40" t="n">
        <v>7450</v>
      </c>
      <c r="L11" s="40" t="n">
        <v>7680</v>
      </c>
      <c r="M11" s="40" t="n">
        <v>7290</v>
      </c>
      <c r="N11" s="41">
        <f>AVERAGE(K11:M11)</f>
        <v/>
      </c>
      <c r="O11" s="42">
        <f>N11/24</f>
        <v/>
      </c>
      <c r="P11" s="42">
        <f>N11/22</f>
        <v/>
      </c>
      <c r="Q11" s="42">
        <f>N11/17</f>
        <v/>
      </c>
      <c r="R11" s="40" t="n">
        <v>250</v>
      </c>
    </row>
    <row r="12" ht="15" customHeight="1" s="32">
      <c r="A12" s="43" t="inlineStr">
        <is>
          <t>KR-&gt;BR</t>
        </is>
      </c>
      <c r="B12" s="43" t="inlineStr">
        <is>
          <t>KR</t>
        </is>
      </c>
      <c r="C12" s="44" t="inlineStr">
        <is>
          <t>한국</t>
        </is>
      </c>
      <c r="D12" s="44" t="inlineStr">
        <is>
          <t>부산항 / 광양항 (KRPUS/KRKAN)</t>
        </is>
      </c>
      <c r="E12" s="43" t="inlineStr">
        <is>
          <t>BR</t>
        </is>
      </c>
      <c r="F12" s="44" t="inlineStr">
        <is>
          <t>브라질 (마나우스)</t>
        </is>
      </c>
      <c r="G12" s="44" t="inlineStr">
        <is>
          <t>마나우스 (Manaus, Amazonas)</t>
        </is>
      </c>
      <c r="H12" s="44" t="inlineStr">
        <is>
          <t>마나우스항 (Porto de Manaus / Chibatao)</t>
        </is>
      </c>
      <c r="I12" s="43" t="inlineStr">
        <is>
          <t>BRMAO</t>
        </is>
      </c>
      <c r="J12" s="45" t="inlineStr">
        <is>
          <t>15km (아마존하천항)</t>
        </is>
      </c>
      <c r="K12" s="46" t="n">
        <v>8150</v>
      </c>
      <c r="L12" s="46" t="n">
        <v>8450</v>
      </c>
      <c r="M12" s="46" t="n">
        <v>7980</v>
      </c>
      <c r="N12" s="47">
        <f>AVERAGE(K12:M12)</f>
        <v/>
      </c>
      <c r="O12" s="48">
        <f>N12/24</f>
        <v/>
      </c>
      <c r="P12" s="48">
        <f>N12/22</f>
        <v/>
      </c>
      <c r="Q12" s="48">
        <f>N12/17</f>
        <v/>
      </c>
      <c r="R12" s="46" t="n">
        <v>280</v>
      </c>
    </row>
    <row r="13" ht="15" customHeight="1" s="32">
      <c r="A13" s="37" t="inlineStr">
        <is>
          <t>KR-&gt;EG</t>
        </is>
      </c>
      <c r="B13" s="37" t="inlineStr">
        <is>
          <t>KR</t>
        </is>
      </c>
      <c r="C13" s="38" t="inlineStr">
        <is>
          <t>한국</t>
        </is>
      </c>
      <c r="D13" s="38" t="inlineStr">
        <is>
          <t>부산항 / 광양항 (KRPUS/KRKAN)</t>
        </is>
      </c>
      <c r="E13" s="37" t="inlineStr">
        <is>
          <t>EG</t>
        </is>
      </c>
      <c r="F13" s="38" t="inlineStr">
        <is>
          <t>이집트 (카이로)</t>
        </is>
      </c>
      <c r="G13" s="38" t="inlineStr">
        <is>
          <t>카이로 (Cairo / 10th of Ramadan)</t>
        </is>
      </c>
      <c r="H13" s="38" t="inlineStr">
        <is>
          <t>아인소크나항 (Ain Sokhna) / 알렉산드리아항</t>
        </is>
      </c>
      <c r="I13" s="37" t="inlineStr">
        <is>
          <t>EGSOK / EGALY</t>
        </is>
      </c>
      <c r="J13" s="39" t="inlineStr">
        <is>
          <t>120km (소크나-&gt;카이로)</t>
        </is>
      </c>
      <c r="K13" s="40" t="n">
        <v>5650</v>
      </c>
      <c r="L13" s="40" t="n">
        <v>5920</v>
      </c>
      <c r="M13" s="40" t="n">
        <v>5480</v>
      </c>
      <c r="N13" s="41">
        <f>AVERAGE(K13:M13)</f>
        <v/>
      </c>
      <c r="O13" s="42">
        <f>N13/24</f>
        <v/>
      </c>
      <c r="P13" s="42">
        <f>N13/22</f>
        <v/>
      </c>
      <c r="Q13" s="42">
        <f>N13/17</f>
        <v/>
      </c>
      <c r="R13" s="40" t="n">
        <v>350</v>
      </c>
    </row>
    <row r="14" ht="15" customHeight="1" s="32">
      <c r="A14" s="43" t="inlineStr">
        <is>
          <t>KR-&gt;US</t>
        </is>
      </c>
      <c r="B14" s="43" t="inlineStr">
        <is>
          <t>KR</t>
        </is>
      </c>
      <c r="C14" s="44" t="inlineStr">
        <is>
          <t>한국</t>
        </is>
      </c>
      <c r="D14" s="44" t="inlineStr">
        <is>
          <t>부산항 / 광양항 (KRPUS/KRKAN)</t>
        </is>
      </c>
      <c r="E14" s="43" t="inlineStr">
        <is>
          <t>US</t>
        </is>
      </c>
      <c r="F14" s="44" t="inlineStr">
        <is>
          <t>미국 (클락스빌)</t>
        </is>
      </c>
      <c r="G14" s="44" t="inlineStr">
        <is>
          <t>클락스빌 (Clarksville, TN)</t>
        </is>
      </c>
      <c r="H14" s="44" t="inlineStr">
        <is>
          <t>서배너항 (Savannah) / 찰스턴항 + 철도Ramp</t>
        </is>
      </c>
      <c r="I14" s="43" t="inlineStr">
        <is>
          <t>USSAV / USCHS</t>
        </is>
      </c>
      <c r="J14" s="44" t="inlineStr">
        <is>
          <t>약 720km (IPI 철도+트럭)</t>
        </is>
      </c>
      <c r="K14" s="46" t="n">
        <v>9850</v>
      </c>
      <c r="L14" s="46" t="n">
        <v>10120</v>
      </c>
      <c r="M14" s="46" t="n">
        <v>9640</v>
      </c>
      <c r="N14" s="47">
        <f>AVERAGE(K14:M14)</f>
        <v/>
      </c>
      <c r="O14" s="48">
        <f>N14/24</f>
        <v/>
      </c>
      <c r="P14" s="48">
        <f>N14/22</f>
        <v/>
      </c>
      <c r="Q14" s="48">
        <f>N14/17</f>
        <v/>
      </c>
      <c r="R14" s="46" t="n">
        <v>1350</v>
      </c>
    </row>
    <row r="15" ht="15" customHeight="1" s="32">
      <c r="A15" s="37" t="inlineStr">
        <is>
          <t>KR-&gt;NO</t>
        </is>
      </c>
      <c r="B15" s="37" t="inlineStr">
        <is>
          <t>KR</t>
        </is>
      </c>
      <c r="C15" s="38" t="inlineStr">
        <is>
          <t>한국</t>
        </is>
      </c>
      <c r="D15" s="38" t="inlineStr">
        <is>
          <t>부산항 / 광양항 (KRPUS/KRKAN)</t>
        </is>
      </c>
      <c r="E15" s="37" t="inlineStr">
        <is>
          <t>NO</t>
        </is>
      </c>
      <c r="F15" s="38" t="inlineStr">
        <is>
          <t>노르웨이 (오슬로)</t>
        </is>
      </c>
      <c r="G15" s="38" t="inlineStr">
        <is>
          <t>오슬로 (Oslo)</t>
        </is>
      </c>
      <c r="H15" s="38" t="inlineStr">
        <is>
          <t>오슬로항 (Port of Oslo)</t>
        </is>
      </c>
      <c r="I15" s="37" t="inlineStr">
        <is>
          <t>NOOSL</t>
        </is>
      </c>
      <c r="J15" s="39" t="inlineStr">
        <is>
          <t>20km (항만직결)</t>
        </is>
      </c>
      <c r="K15" s="40" t="n">
        <v>3780</v>
      </c>
      <c r="L15" s="40" t="n">
        <v>3950</v>
      </c>
      <c r="M15" s="40" t="n">
        <v>3690</v>
      </c>
      <c r="N15" s="41">
        <f>AVERAGE(K15:M15)</f>
        <v/>
      </c>
      <c r="O15" s="42">
        <f>N15/24</f>
        <v/>
      </c>
      <c r="P15" s="42">
        <f>N15/22</f>
        <v/>
      </c>
      <c r="Q15" s="42">
        <f>N15/17</f>
        <v/>
      </c>
      <c r="R15" s="40" t="n">
        <v>290</v>
      </c>
    </row>
    <row r="16" ht="15" customHeight="1" s="32">
      <c r="A16" s="43" t="inlineStr">
        <is>
          <t>CN-&gt;KR</t>
        </is>
      </c>
      <c r="B16" s="43" t="inlineStr">
        <is>
          <t>CN</t>
        </is>
      </c>
      <c r="C16" s="44" t="inlineStr">
        <is>
          <t>중국</t>
        </is>
      </c>
      <c r="D16" s="44" t="inlineStr">
        <is>
          <t>상하이항 / 천진신강항 (CNSHA/CNTSN)</t>
        </is>
      </c>
      <c r="E16" s="43" t="inlineStr">
        <is>
          <t>KR</t>
        </is>
      </c>
      <c r="F16" s="44" t="inlineStr">
        <is>
          <t>한국 (부산)</t>
        </is>
      </c>
      <c r="G16" s="44" t="inlineStr">
        <is>
          <t>부산 (Busan)</t>
        </is>
      </c>
      <c r="H16" s="44" t="inlineStr">
        <is>
          <t>부산항 (Port of Busan)</t>
        </is>
      </c>
      <c r="I16" s="43" t="inlineStr">
        <is>
          <t>KRPUS</t>
        </is>
      </c>
      <c r="J16" s="45" t="inlineStr">
        <is>
          <t>25km (항만직결)</t>
        </is>
      </c>
      <c r="K16" s="46" t="n">
        <v>490</v>
      </c>
      <c r="L16" s="46" t="n">
        <v>530</v>
      </c>
      <c r="M16" s="46" t="n">
        <v>470</v>
      </c>
      <c r="N16" s="47">
        <f>AVERAGE(K16:M16)</f>
        <v/>
      </c>
      <c r="O16" s="48">
        <f>N16/24</f>
        <v/>
      </c>
      <c r="P16" s="48">
        <f>N16/22</f>
        <v/>
      </c>
      <c r="Q16" s="48">
        <f>N16/17</f>
        <v/>
      </c>
      <c r="R16" s="46" t="n">
        <v>220</v>
      </c>
    </row>
    <row r="17" ht="15" customHeight="1" s="32">
      <c r="A17" s="37" t="inlineStr">
        <is>
          <t>CN-&gt;CN</t>
        </is>
      </c>
      <c r="B17" s="37" t="inlineStr">
        <is>
          <t>CN</t>
        </is>
      </c>
      <c r="C17" s="38" t="inlineStr">
        <is>
          <t>중국</t>
        </is>
      </c>
      <c r="D17" s="38" t="inlineStr">
        <is>
          <t>상하이항 / 천진신강항 (CNSHA/CNTSN)</t>
        </is>
      </c>
      <c r="E17" s="37" t="inlineStr">
        <is>
          <t>CN</t>
        </is>
      </c>
      <c r="F17" s="38" t="inlineStr">
        <is>
          <t>중국 (천진)</t>
        </is>
      </c>
      <c r="G17" s="38" t="inlineStr">
        <is>
          <t>천진 (Tianjin)</t>
        </is>
      </c>
      <c r="H17" s="38" t="inlineStr">
        <is>
          <t>천진 신강항 (Tianjin Xingang)</t>
        </is>
      </c>
      <c r="I17" s="37" t="inlineStr">
        <is>
          <t>CNTSN</t>
        </is>
      </c>
      <c r="J17" s="39" t="inlineStr">
        <is>
          <t>45km (항만직결)</t>
        </is>
      </c>
      <c r="K17" s="40" t="n">
        <v>360</v>
      </c>
      <c r="L17" s="40" t="n">
        <v>390</v>
      </c>
      <c r="M17" s="40" t="n">
        <v>350</v>
      </c>
      <c r="N17" s="41">
        <f>AVERAGE(K17:M17)</f>
        <v/>
      </c>
      <c r="O17" s="42">
        <f>N17/24</f>
        <v/>
      </c>
      <c r="P17" s="42">
        <f>N17/22</f>
        <v/>
      </c>
      <c r="Q17" s="42">
        <f>N17/17</f>
        <v/>
      </c>
      <c r="R17" s="40" t="n">
        <v>240</v>
      </c>
    </row>
    <row r="18" ht="15" customHeight="1" s="32">
      <c r="A18" s="43" t="inlineStr">
        <is>
          <t>CN-&gt;IN_NOI</t>
        </is>
      </c>
      <c r="B18" s="43" t="inlineStr">
        <is>
          <t>CN</t>
        </is>
      </c>
      <c r="C18" s="44" t="inlineStr">
        <is>
          <t>중국</t>
        </is>
      </c>
      <c r="D18" s="44" t="inlineStr">
        <is>
          <t>상하이항 / 천진신강항 (CNSHA/CNTSN)</t>
        </is>
      </c>
      <c r="E18" s="43" t="inlineStr">
        <is>
          <t>IN_NOI</t>
        </is>
      </c>
      <c r="F18" s="44" t="inlineStr">
        <is>
          <t>인도 (노이다)</t>
        </is>
      </c>
      <c r="G18" s="44" t="inlineStr">
        <is>
          <t>노이다 (Noida, Delhi NCR)</t>
        </is>
      </c>
      <c r="H18" s="44" t="inlineStr">
        <is>
          <t>문드라항 (Mundra) + ICD 다드리</t>
        </is>
      </c>
      <c r="I18" s="43" t="inlineStr">
        <is>
          <t>INMUN-&gt;INDAD</t>
        </is>
      </c>
      <c r="J18" s="44" t="inlineStr">
        <is>
          <t>약 1,150km (철도ICD)</t>
        </is>
      </c>
      <c r="K18" s="46" t="n">
        <v>2340</v>
      </c>
      <c r="L18" s="46" t="n">
        <v>2480</v>
      </c>
      <c r="M18" s="46" t="n">
        <v>2280</v>
      </c>
      <c r="N18" s="47">
        <f>AVERAGE(K18:M18)</f>
        <v/>
      </c>
      <c r="O18" s="48">
        <f>N18/24</f>
        <v/>
      </c>
      <c r="P18" s="48">
        <f>N18/22</f>
        <v/>
      </c>
      <c r="Q18" s="48">
        <f>N18/17</f>
        <v/>
      </c>
      <c r="R18" s="46" t="n">
        <v>960</v>
      </c>
    </row>
    <row r="19" ht="15" customHeight="1" s="32">
      <c r="A19" s="37" t="inlineStr">
        <is>
          <t>CN-&gt;IN_PUN</t>
        </is>
      </c>
      <c r="B19" s="37" t="inlineStr">
        <is>
          <t>CN</t>
        </is>
      </c>
      <c r="C19" s="38" t="inlineStr">
        <is>
          <t>중국</t>
        </is>
      </c>
      <c r="D19" s="38" t="inlineStr">
        <is>
          <t>상하이항 / 천진신강항 (CNSHA/CNTSN)</t>
        </is>
      </c>
      <c r="E19" s="37" t="inlineStr">
        <is>
          <t>IN_PUN</t>
        </is>
      </c>
      <c r="F19" s="38" t="inlineStr">
        <is>
          <t>인도 (푸네)</t>
        </is>
      </c>
      <c r="G19" s="38" t="inlineStr">
        <is>
          <t>푸네 (Pune, Maharashtra)</t>
        </is>
      </c>
      <c r="H19" s="38" t="inlineStr">
        <is>
          <t>나바셰바항 (JNPT Mumbai)</t>
        </is>
      </c>
      <c r="I19" s="37" t="inlineStr">
        <is>
          <t>INNSA</t>
        </is>
      </c>
      <c r="J19" s="39" t="inlineStr">
        <is>
          <t>150km (고속도로)</t>
        </is>
      </c>
      <c r="K19" s="40" t="n">
        <v>2180</v>
      </c>
      <c r="L19" s="40" t="n">
        <v>2310</v>
      </c>
      <c r="M19" s="40" t="n">
        <v>2120</v>
      </c>
      <c r="N19" s="41">
        <f>AVERAGE(K19:M19)</f>
        <v/>
      </c>
      <c r="O19" s="42">
        <f>N19/24</f>
        <v/>
      </c>
      <c r="P19" s="42">
        <f>N19/22</f>
        <v/>
      </c>
      <c r="Q19" s="42">
        <f>N19/17</f>
        <v/>
      </c>
      <c r="R19" s="40" t="n">
        <v>380</v>
      </c>
    </row>
    <row r="20" ht="15" customHeight="1" s="32">
      <c r="A20" s="43" t="inlineStr">
        <is>
          <t>CN-&gt;TH</t>
        </is>
      </c>
      <c r="B20" s="43" t="inlineStr">
        <is>
          <t>CN</t>
        </is>
      </c>
      <c r="C20" s="44" t="inlineStr">
        <is>
          <t>중국</t>
        </is>
      </c>
      <c r="D20" s="44" t="inlineStr">
        <is>
          <t>상하이항 / 천진신강항 (CNSHA/CNTSN)</t>
        </is>
      </c>
      <c r="E20" s="43" t="inlineStr">
        <is>
          <t>TH</t>
        </is>
      </c>
      <c r="F20" s="44" t="inlineStr">
        <is>
          <t>태국 (람차방)</t>
        </is>
      </c>
      <c r="G20" s="44" t="inlineStr">
        <is>
          <t>람차방 / 라용 (Laem Chabang)</t>
        </is>
      </c>
      <c r="H20" s="44" t="inlineStr">
        <is>
          <t>람차방항 (Laem Chabang)</t>
        </is>
      </c>
      <c r="I20" s="43" t="inlineStr">
        <is>
          <t>THLCH</t>
        </is>
      </c>
      <c r="J20" s="45" t="inlineStr">
        <is>
          <t>30km (항만직결)</t>
        </is>
      </c>
      <c r="K20" s="46" t="n">
        <v>1690</v>
      </c>
      <c r="L20" s="46" t="n">
        <v>1740</v>
      </c>
      <c r="M20" s="46" t="n">
        <v>1610</v>
      </c>
      <c r="N20" s="47">
        <f>AVERAGE(K20:M20)</f>
        <v/>
      </c>
      <c r="O20" s="48">
        <f>N20/24</f>
        <v/>
      </c>
      <c r="P20" s="48">
        <f>N20/22</f>
        <v/>
      </c>
      <c r="Q20" s="48">
        <f>N20/17</f>
        <v/>
      </c>
      <c r="R20" s="46" t="n">
        <v>210</v>
      </c>
    </row>
    <row r="21" ht="15" customHeight="1" s="32">
      <c r="A21" s="37" t="inlineStr">
        <is>
          <t>CN-&gt;ID</t>
        </is>
      </c>
      <c r="B21" s="37" t="inlineStr">
        <is>
          <t>CN</t>
        </is>
      </c>
      <c r="C21" s="38" t="inlineStr">
        <is>
          <t>중국</t>
        </is>
      </c>
      <c r="D21" s="38" t="inlineStr">
        <is>
          <t>상하이항 / 천진신강항 (CNSHA/CNTSN)</t>
        </is>
      </c>
      <c r="E21" s="37" t="inlineStr">
        <is>
          <t>ID</t>
        </is>
      </c>
      <c r="F21" s="38" t="inlineStr">
        <is>
          <t>인니 (자카르타)</t>
        </is>
      </c>
      <c r="G21" s="38" t="inlineStr">
        <is>
          <t>자카르타 (Jakarta / Cibitung)</t>
        </is>
      </c>
      <c r="H21" s="38" t="inlineStr">
        <is>
          <t>탄중프리옥항 (Tanjung Priok)</t>
        </is>
      </c>
      <c r="I21" s="37" t="inlineStr">
        <is>
          <t>IDJKT</t>
        </is>
      </c>
      <c r="J21" s="39" t="inlineStr">
        <is>
          <t>40km (수도권산단)</t>
        </is>
      </c>
      <c r="K21" s="40" t="n">
        <v>1850</v>
      </c>
      <c r="L21" s="40" t="n">
        <v>1920</v>
      </c>
      <c r="M21" s="40" t="n">
        <v>1780</v>
      </c>
      <c r="N21" s="41">
        <f>AVERAGE(K21:M21)</f>
        <v/>
      </c>
      <c r="O21" s="42">
        <f>N21/24</f>
        <v/>
      </c>
      <c r="P21" s="42">
        <f>N21/22</f>
        <v/>
      </c>
      <c r="Q21" s="42">
        <f>N21/17</f>
        <v/>
      </c>
      <c r="R21" s="40" t="n">
        <v>260</v>
      </c>
    </row>
    <row r="22" ht="15" customHeight="1" s="32">
      <c r="A22" s="43" t="inlineStr">
        <is>
          <t>CN-&gt;SA</t>
        </is>
      </c>
      <c r="B22" s="43" t="inlineStr">
        <is>
          <t>CN</t>
        </is>
      </c>
      <c r="C22" s="44" t="inlineStr">
        <is>
          <t>중국</t>
        </is>
      </c>
      <c r="D22" s="44" t="inlineStr">
        <is>
          <t>상하이항 / 천진신강항 (CNSHA/CNTSN)</t>
        </is>
      </c>
      <c r="E22" s="43" t="inlineStr">
        <is>
          <t>SA</t>
        </is>
      </c>
      <c r="F22" s="44" t="inlineStr">
        <is>
          <t>사우디 (제다)</t>
        </is>
      </c>
      <c r="G22" s="44" t="inlineStr">
        <is>
          <t>제다 (Jeddah)</t>
        </is>
      </c>
      <c r="H22" s="44" t="inlineStr">
        <is>
          <t>제다 이슬람항 (Jeddah Islamic Port)</t>
        </is>
      </c>
      <c r="I22" s="43" t="inlineStr">
        <is>
          <t>SAJED</t>
        </is>
      </c>
      <c r="J22" s="45" t="inlineStr">
        <is>
          <t>25km (항만직결)</t>
        </is>
      </c>
      <c r="K22" s="46" t="n">
        <v>7620</v>
      </c>
      <c r="L22" s="46" t="n">
        <v>7850</v>
      </c>
      <c r="M22" s="46" t="n">
        <v>7440</v>
      </c>
      <c r="N22" s="47">
        <f>AVERAGE(K22:M22)</f>
        <v/>
      </c>
      <c r="O22" s="48">
        <f>N22/24</f>
        <v/>
      </c>
      <c r="P22" s="48">
        <f>N22/22</f>
        <v/>
      </c>
      <c r="Q22" s="48">
        <f>N22/17</f>
        <v/>
      </c>
      <c r="R22" s="46" t="n">
        <v>250</v>
      </c>
    </row>
    <row r="23" ht="15" customHeight="1" s="32">
      <c r="A23" s="37" t="inlineStr">
        <is>
          <t>CN-&gt;BR</t>
        </is>
      </c>
      <c r="B23" s="37" t="inlineStr">
        <is>
          <t>CN</t>
        </is>
      </c>
      <c r="C23" s="38" t="inlineStr">
        <is>
          <t>중국</t>
        </is>
      </c>
      <c r="D23" s="38" t="inlineStr">
        <is>
          <t>상하이항 / 천진신강항 (CNSHA/CNTSN)</t>
        </is>
      </c>
      <c r="E23" s="37" t="inlineStr">
        <is>
          <t>BR</t>
        </is>
      </c>
      <c r="F23" s="38" t="inlineStr">
        <is>
          <t>브라질 (마나우스)</t>
        </is>
      </c>
      <c r="G23" s="38" t="inlineStr">
        <is>
          <t>마나우스 (Manaus, Amazonas)</t>
        </is>
      </c>
      <c r="H23" s="38" t="inlineStr">
        <is>
          <t>마나우스항 (Porto de Manaus / Chibatao)</t>
        </is>
      </c>
      <c r="I23" s="37" t="inlineStr">
        <is>
          <t>BRMAO</t>
        </is>
      </c>
      <c r="J23" s="39" t="inlineStr">
        <is>
          <t>15km (아마존하천항)</t>
        </is>
      </c>
      <c r="K23" s="40" t="n">
        <v>8380</v>
      </c>
      <c r="L23" s="40" t="n">
        <v>8690</v>
      </c>
      <c r="M23" s="40" t="n">
        <v>8190</v>
      </c>
      <c r="N23" s="41">
        <f>AVERAGE(K23:M23)</f>
        <v/>
      </c>
      <c r="O23" s="42">
        <f>N23/24</f>
        <v/>
      </c>
      <c r="P23" s="42">
        <f>N23/22</f>
        <v/>
      </c>
      <c r="Q23" s="42">
        <f>N23/17</f>
        <v/>
      </c>
      <c r="R23" s="40" t="n">
        <v>280</v>
      </c>
    </row>
    <row r="24" ht="15" customHeight="1" s="32">
      <c r="A24" s="43" t="inlineStr">
        <is>
          <t>CN-&gt;EG</t>
        </is>
      </c>
      <c r="B24" s="43" t="inlineStr">
        <is>
          <t>CN</t>
        </is>
      </c>
      <c r="C24" s="44" t="inlineStr">
        <is>
          <t>중국</t>
        </is>
      </c>
      <c r="D24" s="44" t="inlineStr">
        <is>
          <t>상하이항 / 천진신강항 (CNSHA/CNTSN)</t>
        </is>
      </c>
      <c r="E24" s="43" t="inlineStr">
        <is>
          <t>EG</t>
        </is>
      </c>
      <c r="F24" s="44" t="inlineStr">
        <is>
          <t>이집트 (카이로)</t>
        </is>
      </c>
      <c r="G24" s="44" t="inlineStr">
        <is>
          <t>카이로 (Cairo / 10th of Ramadan)</t>
        </is>
      </c>
      <c r="H24" s="44" t="inlineStr">
        <is>
          <t>아인소크나항 (Ain Sokhna) / 알렉산드리아항</t>
        </is>
      </c>
      <c r="I24" s="43" t="inlineStr">
        <is>
          <t>EGSOK / EGALY</t>
        </is>
      </c>
      <c r="J24" s="45" t="inlineStr">
        <is>
          <t>120km (소크나-&gt;카이로)</t>
        </is>
      </c>
      <c r="K24" s="46" t="n">
        <v>5780</v>
      </c>
      <c r="L24" s="46" t="n">
        <v>6040</v>
      </c>
      <c r="M24" s="46" t="n">
        <v>5620</v>
      </c>
      <c r="N24" s="47">
        <f>AVERAGE(K24:M24)</f>
        <v/>
      </c>
      <c r="O24" s="48">
        <f>N24/24</f>
        <v/>
      </c>
      <c r="P24" s="48">
        <f>N24/22</f>
        <v/>
      </c>
      <c r="Q24" s="48">
        <f>N24/17</f>
        <v/>
      </c>
      <c r="R24" s="46" t="n">
        <v>350</v>
      </c>
    </row>
    <row r="25" ht="15" customHeight="1" s="32">
      <c r="A25" s="37" t="inlineStr">
        <is>
          <t>CN-&gt;US</t>
        </is>
      </c>
      <c r="B25" s="37" t="inlineStr">
        <is>
          <t>CN</t>
        </is>
      </c>
      <c r="C25" s="38" t="inlineStr">
        <is>
          <t>중국</t>
        </is>
      </c>
      <c r="D25" s="38" t="inlineStr">
        <is>
          <t>상하이항 / 천진신강항 (CNSHA/CNTSN)</t>
        </is>
      </c>
      <c r="E25" s="37" t="inlineStr">
        <is>
          <t>US</t>
        </is>
      </c>
      <c r="F25" s="38" t="inlineStr">
        <is>
          <t>미국 (클락스빌)</t>
        </is>
      </c>
      <c r="G25" s="38" t="inlineStr">
        <is>
          <t>클락스빌 (Clarksville, TN)</t>
        </is>
      </c>
      <c r="H25" s="38" t="inlineStr">
        <is>
          <t>서배너항 (Savannah) / 찰스턴항 + 철도Ramp</t>
        </is>
      </c>
      <c r="I25" s="37" t="inlineStr">
        <is>
          <t>USSAV / USCHS</t>
        </is>
      </c>
      <c r="J25" s="38" t="inlineStr">
        <is>
          <t>약 720km (IPI 철도+트럭)</t>
        </is>
      </c>
      <c r="K25" s="40" t="n">
        <v>10220</v>
      </c>
      <c r="L25" s="40" t="n">
        <v>10450</v>
      </c>
      <c r="M25" s="40" t="n">
        <v>9980</v>
      </c>
      <c r="N25" s="41">
        <f>AVERAGE(K25:M25)</f>
        <v/>
      </c>
      <c r="O25" s="42">
        <f>N25/24</f>
        <v/>
      </c>
      <c r="P25" s="42">
        <f>N25/22</f>
        <v/>
      </c>
      <c r="Q25" s="42">
        <f>N25/17</f>
        <v/>
      </c>
      <c r="R25" s="40" t="n">
        <v>1350</v>
      </c>
    </row>
    <row r="26" ht="15" customHeight="1" s="32">
      <c r="A26" s="43" t="inlineStr">
        <is>
          <t>CN-&gt;NO</t>
        </is>
      </c>
      <c r="B26" s="43" t="inlineStr">
        <is>
          <t>CN</t>
        </is>
      </c>
      <c r="C26" s="44" t="inlineStr">
        <is>
          <t>중국</t>
        </is>
      </c>
      <c r="D26" s="44" t="inlineStr">
        <is>
          <t>상하이항 / 천진신강항 (CNSHA/CNTSN)</t>
        </is>
      </c>
      <c r="E26" s="43" t="inlineStr">
        <is>
          <t>NO</t>
        </is>
      </c>
      <c r="F26" s="44" t="inlineStr">
        <is>
          <t>노르웨이 (오슬로)</t>
        </is>
      </c>
      <c r="G26" s="44" t="inlineStr">
        <is>
          <t>오슬로 (Oslo)</t>
        </is>
      </c>
      <c r="H26" s="44" t="inlineStr">
        <is>
          <t>오슬로항 (Port of Oslo)</t>
        </is>
      </c>
      <c r="I26" s="43" t="inlineStr">
        <is>
          <t>NOOSL</t>
        </is>
      </c>
      <c r="J26" s="45" t="inlineStr">
        <is>
          <t>20km (항만직결)</t>
        </is>
      </c>
      <c r="K26" s="46" t="n">
        <v>3680</v>
      </c>
      <c r="L26" s="46" t="n">
        <v>3840</v>
      </c>
      <c r="M26" s="46" t="n">
        <v>3590</v>
      </c>
      <c r="N26" s="47">
        <f>AVERAGE(K26:M26)</f>
        <v/>
      </c>
      <c r="O26" s="48">
        <f>N26/24</f>
        <v/>
      </c>
      <c r="P26" s="48">
        <f>N26/22</f>
        <v/>
      </c>
      <c r="Q26" s="48">
        <f>N26/17</f>
        <v/>
      </c>
      <c r="R26" s="46" t="n">
        <v>290</v>
      </c>
    </row>
    <row r="27" ht="15" customHeight="1" s="32">
      <c r="A27" s="37" t="inlineStr">
        <is>
          <t>TH-&gt;KR</t>
        </is>
      </c>
      <c r="B27" s="37" t="inlineStr">
        <is>
          <t>TH</t>
        </is>
      </c>
      <c r="C27" s="38" t="inlineStr">
        <is>
          <t>태국</t>
        </is>
      </c>
      <c r="D27" s="38" t="inlineStr">
        <is>
          <t>람차방항 (THLCH)</t>
        </is>
      </c>
      <c r="E27" s="37" t="inlineStr">
        <is>
          <t>KR</t>
        </is>
      </c>
      <c r="F27" s="38" t="inlineStr">
        <is>
          <t>한국 (부산)</t>
        </is>
      </c>
      <c r="G27" s="38" t="inlineStr">
        <is>
          <t>부산 (Busan)</t>
        </is>
      </c>
      <c r="H27" s="38" t="inlineStr">
        <is>
          <t>부산항 (Port of Busan)</t>
        </is>
      </c>
      <c r="I27" s="37" t="inlineStr">
        <is>
          <t>KRPUS</t>
        </is>
      </c>
      <c r="J27" s="39" t="inlineStr">
        <is>
          <t>25km (항만직결)</t>
        </is>
      </c>
      <c r="K27" s="40" t="n">
        <v>1280</v>
      </c>
      <c r="L27" s="40" t="n">
        <v>1350</v>
      </c>
      <c r="M27" s="40" t="n">
        <v>1240</v>
      </c>
      <c r="N27" s="41">
        <f>AVERAGE(K27:M27)</f>
        <v/>
      </c>
      <c r="O27" s="42">
        <f>N27/24</f>
        <v/>
      </c>
      <c r="P27" s="42">
        <f>N27/22</f>
        <v/>
      </c>
      <c r="Q27" s="42">
        <f>N27/17</f>
        <v/>
      </c>
      <c r="R27" s="40" t="n">
        <v>220</v>
      </c>
    </row>
    <row r="28" ht="15" customHeight="1" s="32">
      <c r="A28" s="43" t="inlineStr">
        <is>
          <t>TH-&gt;CN</t>
        </is>
      </c>
      <c r="B28" s="43" t="inlineStr">
        <is>
          <t>TH</t>
        </is>
      </c>
      <c r="C28" s="44" t="inlineStr">
        <is>
          <t>태국</t>
        </is>
      </c>
      <c r="D28" s="44" t="inlineStr">
        <is>
          <t>람차방항 (THLCH)</t>
        </is>
      </c>
      <c r="E28" s="43" t="inlineStr">
        <is>
          <t>CN</t>
        </is>
      </c>
      <c r="F28" s="44" t="inlineStr">
        <is>
          <t>중국 (천진)</t>
        </is>
      </c>
      <c r="G28" s="44" t="inlineStr">
        <is>
          <t>천진 (Tianjin)</t>
        </is>
      </c>
      <c r="H28" s="44" t="inlineStr">
        <is>
          <t>천진 신강항 (Tianjin Xingang)</t>
        </is>
      </c>
      <c r="I28" s="43" t="inlineStr">
        <is>
          <t>CNTSN</t>
        </is>
      </c>
      <c r="J28" s="45" t="inlineStr">
        <is>
          <t>45km (항만직결)</t>
        </is>
      </c>
      <c r="K28" s="46" t="n">
        <v>1290</v>
      </c>
      <c r="L28" s="46" t="n">
        <v>1360</v>
      </c>
      <c r="M28" s="46" t="n">
        <v>1230</v>
      </c>
      <c r="N28" s="47">
        <f>AVERAGE(K28:M28)</f>
        <v/>
      </c>
      <c r="O28" s="48">
        <f>N28/24</f>
        <v/>
      </c>
      <c r="P28" s="48">
        <f>N28/22</f>
        <v/>
      </c>
      <c r="Q28" s="48">
        <f>N28/17</f>
        <v/>
      </c>
      <c r="R28" s="46" t="n">
        <v>240</v>
      </c>
    </row>
    <row r="29" ht="15" customHeight="1" s="32">
      <c r="A29" s="37" t="inlineStr">
        <is>
          <t>TH-&gt;IN_NOI</t>
        </is>
      </c>
      <c r="B29" s="37" t="inlineStr">
        <is>
          <t>TH</t>
        </is>
      </c>
      <c r="C29" s="38" t="inlineStr">
        <is>
          <t>태국</t>
        </is>
      </c>
      <c r="D29" s="38" t="inlineStr">
        <is>
          <t>람차방항 (THLCH)</t>
        </is>
      </c>
      <c r="E29" s="37" t="inlineStr">
        <is>
          <t>IN_NOI</t>
        </is>
      </c>
      <c r="F29" s="38" t="inlineStr">
        <is>
          <t>인도 (노이다)</t>
        </is>
      </c>
      <c r="G29" s="38" t="inlineStr">
        <is>
          <t>노이다 (Noida, Delhi NCR)</t>
        </is>
      </c>
      <c r="H29" s="38" t="inlineStr">
        <is>
          <t>문드라항 (Mundra) + ICD 다드리</t>
        </is>
      </c>
      <c r="I29" s="37" t="inlineStr">
        <is>
          <t>INMUN-&gt;INDAD</t>
        </is>
      </c>
      <c r="J29" s="38" t="inlineStr">
        <is>
          <t>약 1,150km (철도ICD)</t>
        </is>
      </c>
      <c r="K29" s="40" t="n">
        <v>1790</v>
      </c>
      <c r="L29" s="40" t="n">
        <v>1890</v>
      </c>
      <c r="M29" s="40" t="n">
        <v>1720</v>
      </c>
      <c r="N29" s="41">
        <f>AVERAGE(K29:M29)</f>
        <v/>
      </c>
      <c r="O29" s="42">
        <f>N29/24</f>
        <v/>
      </c>
      <c r="P29" s="42">
        <f>N29/22</f>
        <v/>
      </c>
      <c r="Q29" s="42">
        <f>N29/17</f>
        <v/>
      </c>
      <c r="R29" s="40" t="n">
        <v>960</v>
      </c>
    </row>
    <row r="30" ht="15" customHeight="1" s="32">
      <c r="A30" s="43" t="inlineStr">
        <is>
          <t>TH-&gt;IN_PUN</t>
        </is>
      </c>
      <c r="B30" s="43" t="inlineStr">
        <is>
          <t>TH</t>
        </is>
      </c>
      <c r="C30" s="44" t="inlineStr">
        <is>
          <t>태국</t>
        </is>
      </c>
      <c r="D30" s="44" t="inlineStr">
        <is>
          <t>람차방항 (THLCH)</t>
        </is>
      </c>
      <c r="E30" s="43" t="inlineStr">
        <is>
          <t>IN_PUN</t>
        </is>
      </c>
      <c r="F30" s="44" t="inlineStr">
        <is>
          <t>인도 (푸네)</t>
        </is>
      </c>
      <c r="G30" s="44" t="inlineStr">
        <is>
          <t>푸네 (Pune, Maharashtra)</t>
        </is>
      </c>
      <c r="H30" s="44" t="inlineStr">
        <is>
          <t>나바셰바항 (JNPT Mumbai)</t>
        </is>
      </c>
      <c r="I30" s="43" t="inlineStr">
        <is>
          <t>INNSA</t>
        </is>
      </c>
      <c r="J30" s="45" t="inlineStr">
        <is>
          <t>150km (고속도로)</t>
        </is>
      </c>
      <c r="K30" s="46" t="n">
        <v>1640</v>
      </c>
      <c r="L30" s="46" t="n">
        <v>1730</v>
      </c>
      <c r="M30" s="46" t="n">
        <v>1580</v>
      </c>
      <c r="N30" s="47">
        <f>AVERAGE(K30:M30)</f>
        <v/>
      </c>
      <c r="O30" s="48">
        <f>N30/24</f>
        <v/>
      </c>
      <c r="P30" s="48">
        <f>N30/22</f>
        <v/>
      </c>
      <c r="Q30" s="48">
        <f>N30/17</f>
        <v/>
      </c>
      <c r="R30" s="46" t="n">
        <v>380</v>
      </c>
    </row>
    <row r="31" ht="15" customHeight="1" s="32">
      <c r="A31" s="37" t="inlineStr">
        <is>
          <t>TH-&gt;TH</t>
        </is>
      </c>
      <c r="B31" s="37" t="inlineStr">
        <is>
          <t>TH</t>
        </is>
      </c>
      <c r="C31" s="38" t="inlineStr">
        <is>
          <t>태국</t>
        </is>
      </c>
      <c r="D31" s="38" t="inlineStr">
        <is>
          <t>람차방항 (THLCH)</t>
        </is>
      </c>
      <c r="E31" s="37" t="inlineStr">
        <is>
          <t>TH</t>
        </is>
      </c>
      <c r="F31" s="38" t="inlineStr">
        <is>
          <t>태국 (람차방)</t>
        </is>
      </c>
      <c r="G31" s="38" t="inlineStr">
        <is>
          <t>람차방 / 라용 (Laem Chabang)</t>
        </is>
      </c>
      <c r="H31" s="38" t="inlineStr">
        <is>
          <t>람차방항 (Laem Chabang)</t>
        </is>
      </c>
      <c r="I31" s="37" t="inlineStr">
        <is>
          <t>THLCH</t>
        </is>
      </c>
      <c r="J31" s="39" t="inlineStr">
        <is>
          <t>30km (항만직결)</t>
        </is>
      </c>
      <c r="K31" s="40" t="n">
        <v>320</v>
      </c>
      <c r="L31" s="40" t="n">
        <v>350</v>
      </c>
      <c r="M31" s="40" t="n">
        <v>310</v>
      </c>
      <c r="N31" s="41">
        <f>AVERAGE(K31:M31)</f>
        <v/>
      </c>
      <c r="O31" s="42">
        <f>N31/24</f>
        <v/>
      </c>
      <c r="P31" s="42">
        <f>N31/22</f>
        <v/>
      </c>
      <c r="Q31" s="42">
        <f>N31/17</f>
        <v/>
      </c>
      <c r="R31" s="40" t="n">
        <v>210</v>
      </c>
    </row>
    <row r="32" ht="15" customHeight="1" s="32">
      <c r="A32" s="43" t="inlineStr">
        <is>
          <t>TH-&gt;ID</t>
        </is>
      </c>
      <c r="B32" s="43" t="inlineStr">
        <is>
          <t>TH</t>
        </is>
      </c>
      <c r="C32" s="44" t="inlineStr">
        <is>
          <t>태국</t>
        </is>
      </c>
      <c r="D32" s="44" t="inlineStr">
        <is>
          <t>람차방항 (THLCH)</t>
        </is>
      </c>
      <c r="E32" s="43" t="inlineStr">
        <is>
          <t>ID</t>
        </is>
      </c>
      <c r="F32" s="44" t="inlineStr">
        <is>
          <t>인니 (자카르타)</t>
        </is>
      </c>
      <c r="G32" s="44" t="inlineStr">
        <is>
          <t>자카르타 (Jakarta / Cibitung)</t>
        </is>
      </c>
      <c r="H32" s="44" t="inlineStr">
        <is>
          <t>탄중프리옥항 (Tanjung Priok)</t>
        </is>
      </c>
      <c r="I32" s="43" t="inlineStr">
        <is>
          <t>IDJKT</t>
        </is>
      </c>
      <c r="J32" s="45" t="inlineStr">
        <is>
          <t>40km (수도권산단)</t>
        </is>
      </c>
      <c r="K32" s="46" t="n">
        <v>980</v>
      </c>
      <c r="L32" s="46" t="n">
        <v>1050</v>
      </c>
      <c r="M32" s="46" t="n">
        <v>940</v>
      </c>
      <c r="N32" s="47">
        <f>AVERAGE(K32:M32)</f>
        <v/>
      </c>
      <c r="O32" s="48">
        <f>N32/24</f>
        <v/>
      </c>
      <c r="P32" s="48">
        <f>N32/22</f>
        <v/>
      </c>
      <c r="Q32" s="48">
        <f>N32/17</f>
        <v/>
      </c>
      <c r="R32" s="46" t="n">
        <v>260</v>
      </c>
    </row>
    <row r="33" ht="15" customHeight="1" s="32">
      <c r="A33" s="37" t="inlineStr">
        <is>
          <t>TH-&gt;SA</t>
        </is>
      </c>
      <c r="B33" s="37" t="inlineStr">
        <is>
          <t>TH</t>
        </is>
      </c>
      <c r="C33" s="38" t="inlineStr">
        <is>
          <t>태국</t>
        </is>
      </c>
      <c r="D33" s="38" t="inlineStr">
        <is>
          <t>람차방항 (THLCH)</t>
        </is>
      </c>
      <c r="E33" s="37" t="inlineStr">
        <is>
          <t>SA</t>
        </is>
      </c>
      <c r="F33" s="38" t="inlineStr">
        <is>
          <t>사우디 (제다)</t>
        </is>
      </c>
      <c r="G33" s="38" t="inlineStr">
        <is>
          <t>제다 (Jeddah)</t>
        </is>
      </c>
      <c r="H33" s="38" t="inlineStr">
        <is>
          <t>제다 이슬람항 (Jeddah Islamic Port)</t>
        </is>
      </c>
      <c r="I33" s="37" t="inlineStr">
        <is>
          <t>SAJED</t>
        </is>
      </c>
      <c r="J33" s="39" t="inlineStr">
        <is>
          <t>25km (항만직결)</t>
        </is>
      </c>
      <c r="K33" s="40" t="n">
        <v>6680</v>
      </c>
      <c r="L33" s="40" t="n">
        <v>6920</v>
      </c>
      <c r="M33" s="40" t="n">
        <v>6510</v>
      </c>
      <c r="N33" s="41">
        <f>AVERAGE(K33:M33)</f>
        <v/>
      </c>
      <c r="O33" s="42">
        <f>N33/24</f>
        <v/>
      </c>
      <c r="P33" s="42">
        <f>N33/22</f>
        <v/>
      </c>
      <c r="Q33" s="42">
        <f>N33/17</f>
        <v/>
      </c>
      <c r="R33" s="40" t="n">
        <v>250</v>
      </c>
    </row>
    <row r="34" ht="15" customHeight="1" s="32">
      <c r="A34" s="43" t="inlineStr">
        <is>
          <t>TH-&gt;BR</t>
        </is>
      </c>
      <c r="B34" s="43" t="inlineStr">
        <is>
          <t>TH</t>
        </is>
      </c>
      <c r="C34" s="44" t="inlineStr">
        <is>
          <t>태국</t>
        </is>
      </c>
      <c r="D34" s="44" t="inlineStr">
        <is>
          <t>람차방항 (THLCH)</t>
        </is>
      </c>
      <c r="E34" s="43" t="inlineStr">
        <is>
          <t>BR</t>
        </is>
      </c>
      <c r="F34" s="44" t="inlineStr">
        <is>
          <t>브라질 (마나우스)</t>
        </is>
      </c>
      <c r="G34" s="44" t="inlineStr">
        <is>
          <t>마나우스 (Manaus, Amazonas)</t>
        </is>
      </c>
      <c r="H34" s="44" t="inlineStr">
        <is>
          <t>마나우스항 (Porto de Manaus / Chibatao)</t>
        </is>
      </c>
      <c r="I34" s="43" t="inlineStr">
        <is>
          <t>BRMAO</t>
        </is>
      </c>
      <c r="J34" s="45" t="inlineStr">
        <is>
          <t>15km (아마존하천항)</t>
        </is>
      </c>
      <c r="K34" s="46" t="n">
        <v>8620</v>
      </c>
      <c r="L34" s="46" t="n">
        <v>8910</v>
      </c>
      <c r="M34" s="46" t="n">
        <v>8420</v>
      </c>
      <c r="N34" s="47">
        <f>AVERAGE(K34:M34)</f>
        <v/>
      </c>
      <c r="O34" s="48">
        <f>N34/24</f>
        <v/>
      </c>
      <c r="P34" s="48">
        <f>N34/22</f>
        <v/>
      </c>
      <c r="Q34" s="48">
        <f>N34/17</f>
        <v/>
      </c>
      <c r="R34" s="46" t="n">
        <v>280</v>
      </c>
    </row>
    <row r="35" ht="15" customHeight="1" s="32">
      <c r="A35" s="37" t="inlineStr">
        <is>
          <t>TH-&gt;EG</t>
        </is>
      </c>
      <c r="B35" s="37" t="inlineStr">
        <is>
          <t>TH</t>
        </is>
      </c>
      <c r="C35" s="38" t="inlineStr">
        <is>
          <t>태국</t>
        </is>
      </c>
      <c r="D35" s="38" t="inlineStr">
        <is>
          <t>람차방항 (THLCH)</t>
        </is>
      </c>
      <c r="E35" s="37" t="inlineStr">
        <is>
          <t>EG</t>
        </is>
      </c>
      <c r="F35" s="38" t="inlineStr">
        <is>
          <t>이집트 (카이로)</t>
        </is>
      </c>
      <c r="G35" s="38" t="inlineStr">
        <is>
          <t>카이로 (Cairo / 10th of Ramadan)</t>
        </is>
      </c>
      <c r="H35" s="38" t="inlineStr">
        <is>
          <t>아인소크나항 (Ain Sokhna) / 알렉산드리아항</t>
        </is>
      </c>
      <c r="I35" s="37" t="inlineStr">
        <is>
          <t>EGSOK / EGALY</t>
        </is>
      </c>
      <c r="J35" s="39" t="inlineStr">
        <is>
          <t>120km (소크나-&gt;카이로)</t>
        </is>
      </c>
      <c r="K35" s="40" t="n">
        <v>5250</v>
      </c>
      <c r="L35" s="40" t="n">
        <v>5520</v>
      </c>
      <c r="M35" s="40" t="n">
        <v>5100</v>
      </c>
      <c r="N35" s="41">
        <f>AVERAGE(K35:M35)</f>
        <v/>
      </c>
      <c r="O35" s="42">
        <f>N35/24</f>
        <v/>
      </c>
      <c r="P35" s="42">
        <f>N35/22</f>
        <v/>
      </c>
      <c r="Q35" s="42">
        <f>N35/17</f>
        <v/>
      </c>
      <c r="R35" s="40" t="n">
        <v>350</v>
      </c>
    </row>
    <row r="36" ht="15" customHeight="1" s="32">
      <c r="A36" s="43" t="inlineStr">
        <is>
          <t>TH-&gt;US</t>
        </is>
      </c>
      <c r="B36" s="43" t="inlineStr">
        <is>
          <t>TH</t>
        </is>
      </c>
      <c r="C36" s="44" t="inlineStr">
        <is>
          <t>태국</t>
        </is>
      </c>
      <c r="D36" s="44" t="inlineStr">
        <is>
          <t>람차방항 (THLCH)</t>
        </is>
      </c>
      <c r="E36" s="43" t="inlineStr">
        <is>
          <t>US</t>
        </is>
      </c>
      <c r="F36" s="44" t="inlineStr">
        <is>
          <t>미국 (클락스빌)</t>
        </is>
      </c>
      <c r="G36" s="44" t="inlineStr">
        <is>
          <t>클락스빌 (Clarksville, TN)</t>
        </is>
      </c>
      <c r="H36" s="44" t="inlineStr">
        <is>
          <t>서배너항 (Savannah) / 찰스턴항 + 철도Ramp</t>
        </is>
      </c>
      <c r="I36" s="43" t="inlineStr">
        <is>
          <t>USSAV / USCHS</t>
        </is>
      </c>
      <c r="J36" s="44" t="inlineStr">
        <is>
          <t>약 720km (IPI 철도+트럭)</t>
        </is>
      </c>
      <c r="K36" s="46" t="n">
        <v>10650</v>
      </c>
      <c r="L36" s="46" t="n">
        <v>10920</v>
      </c>
      <c r="M36" s="46" t="n">
        <v>10380</v>
      </c>
      <c r="N36" s="47">
        <f>AVERAGE(K36:M36)</f>
        <v/>
      </c>
      <c r="O36" s="48">
        <f>N36/24</f>
        <v/>
      </c>
      <c r="P36" s="48">
        <f>N36/22</f>
        <v/>
      </c>
      <c r="Q36" s="48">
        <f>N36/17</f>
        <v/>
      </c>
      <c r="R36" s="46" t="n">
        <v>1350</v>
      </c>
    </row>
    <row r="37" ht="15" customHeight="1" s="32">
      <c r="A37" s="37" t="inlineStr">
        <is>
          <t>TH-&gt;NO</t>
        </is>
      </c>
      <c r="B37" s="37" t="inlineStr">
        <is>
          <t>TH</t>
        </is>
      </c>
      <c r="C37" s="38" t="inlineStr">
        <is>
          <t>태국</t>
        </is>
      </c>
      <c r="D37" s="38" t="inlineStr">
        <is>
          <t>람차방항 (THLCH)</t>
        </is>
      </c>
      <c r="E37" s="37" t="inlineStr">
        <is>
          <t>NO</t>
        </is>
      </c>
      <c r="F37" s="38" t="inlineStr">
        <is>
          <t>노르웨이 (오슬로)</t>
        </is>
      </c>
      <c r="G37" s="38" t="inlineStr">
        <is>
          <t>오슬로 (Oslo)</t>
        </is>
      </c>
      <c r="H37" s="38" t="inlineStr">
        <is>
          <t>오슬로항 (Port of Oslo)</t>
        </is>
      </c>
      <c r="I37" s="37" t="inlineStr">
        <is>
          <t>NOOSL</t>
        </is>
      </c>
      <c r="J37" s="39" t="inlineStr">
        <is>
          <t>20km (항만직결)</t>
        </is>
      </c>
      <c r="K37" s="40" t="n">
        <v>4020</v>
      </c>
      <c r="L37" s="40" t="n">
        <v>4190</v>
      </c>
      <c r="M37" s="40" t="n">
        <v>3910</v>
      </c>
      <c r="N37" s="41">
        <f>AVERAGE(K37:M37)</f>
        <v/>
      </c>
      <c r="O37" s="42">
        <f>N37/24</f>
        <v/>
      </c>
      <c r="P37" s="42">
        <f>N37/22</f>
        <v/>
      </c>
      <c r="Q37" s="42">
        <f>N37/17</f>
        <v/>
      </c>
      <c r="R37" s="40" t="n">
        <v>290</v>
      </c>
    </row>
    <row r="38" ht="15" customHeight="1" s="32">
      <c r="A38" s="43" t="inlineStr">
        <is>
          <t>IN-&gt;KR</t>
        </is>
      </c>
      <c r="B38" s="43" t="inlineStr">
        <is>
          <t>IN</t>
        </is>
      </c>
      <c r="C38" s="44" t="inlineStr">
        <is>
          <t>인도</t>
        </is>
      </c>
      <c r="D38" s="44" t="inlineStr">
        <is>
          <t>나바셰바항 / 문드라항 (INNSA/INMUN)</t>
        </is>
      </c>
      <c r="E38" s="43" t="inlineStr">
        <is>
          <t>KR</t>
        </is>
      </c>
      <c r="F38" s="44" t="inlineStr">
        <is>
          <t>한국 (부산)</t>
        </is>
      </c>
      <c r="G38" s="44" t="inlineStr">
        <is>
          <t>부산 (Busan)</t>
        </is>
      </c>
      <c r="H38" s="44" t="inlineStr">
        <is>
          <t>부산항 (Port of Busan)</t>
        </is>
      </c>
      <c r="I38" s="43" t="inlineStr">
        <is>
          <t>KRPUS</t>
        </is>
      </c>
      <c r="J38" s="45" t="inlineStr">
        <is>
          <t>25km (항만직결)</t>
        </is>
      </c>
      <c r="K38" s="46" t="n">
        <v>1850</v>
      </c>
      <c r="L38" s="46" t="n">
        <v>1960</v>
      </c>
      <c r="M38" s="46" t="n">
        <v>1780</v>
      </c>
      <c r="N38" s="47">
        <f>AVERAGE(K38:M38)</f>
        <v/>
      </c>
      <c r="O38" s="48">
        <f>N38/24</f>
        <v/>
      </c>
      <c r="P38" s="48">
        <f>N38/22</f>
        <v/>
      </c>
      <c r="Q38" s="48">
        <f>N38/17</f>
        <v/>
      </c>
      <c r="R38" s="46" t="n">
        <v>220</v>
      </c>
    </row>
    <row r="39" ht="15" customHeight="1" s="32">
      <c r="A39" s="37" t="inlineStr">
        <is>
          <t>IN-&gt;CN</t>
        </is>
      </c>
      <c r="B39" s="37" t="inlineStr">
        <is>
          <t>IN</t>
        </is>
      </c>
      <c r="C39" s="38" t="inlineStr">
        <is>
          <t>인도</t>
        </is>
      </c>
      <c r="D39" s="38" t="inlineStr">
        <is>
          <t>나바셰바항 / 문드라항 (INNSA/INMUN)</t>
        </is>
      </c>
      <c r="E39" s="37" t="inlineStr">
        <is>
          <t>CN</t>
        </is>
      </c>
      <c r="F39" s="38" t="inlineStr">
        <is>
          <t>중국 (천진)</t>
        </is>
      </c>
      <c r="G39" s="38" t="inlineStr">
        <is>
          <t>천진 (Tianjin)</t>
        </is>
      </c>
      <c r="H39" s="38" t="inlineStr">
        <is>
          <t>천진 신강항 (Tianjin Xingang)</t>
        </is>
      </c>
      <c r="I39" s="37" t="inlineStr">
        <is>
          <t>CNTSN</t>
        </is>
      </c>
      <c r="J39" s="39" t="inlineStr">
        <is>
          <t>45km (항만직결)</t>
        </is>
      </c>
      <c r="K39" s="40" t="n">
        <v>1820</v>
      </c>
      <c r="L39" s="40" t="n">
        <v>1940</v>
      </c>
      <c r="M39" s="40" t="n">
        <v>1750</v>
      </c>
      <c r="N39" s="41">
        <f>AVERAGE(K39:M39)</f>
        <v/>
      </c>
      <c r="O39" s="42">
        <f>N39/24</f>
        <v/>
      </c>
      <c r="P39" s="42">
        <f>N39/22</f>
        <v/>
      </c>
      <c r="Q39" s="42">
        <f>N39/17</f>
        <v/>
      </c>
      <c r="R39" s="40" t="n">
        <v>240</v>
      </c>
    </row>
    <row r="40" ht="15" customHeight="1" s="32">
      <c r="A40" s="43" t="inlineStr">
        <is>
          <t>IN-&gt;IN_NOI</t>
        </is>
      </c>
      <c r="B40" s="43" t="inlineStr">
        <is>
          <t>IN</t>
        </is>
      </c>
      <c r="C40" s="44" t="inlineStr">
        <is>
          <t>인도</t>
        </is>
      </c>
      <c r="D40" s="44" t="inlineStr">
        <is>
          <t>나바셰바항 / 문드라항 (INNSA/INMUN)</t>
        </is>
      </c>
      <c r="E40" s="43" t="inlineStr">
        <is>
          <t>IN_NOI</t>
        </is>
      </c>
      <c r="F40" s="44" t="inlineStr">
        <is>
          <t>인도 (노이다)</t>
        </is>
      </c>
      <c r="G40" s="44" t="inlineStr">
        <is>
          <t>노이다 (Noida, Delhi NCR)</t>
        </is>
      </c>
      <c r="H40" s="44" t="inlineStr">
        <is>
          <t>문드라항 (Mundra) + ICD 다드리</t>
        </is>
      </c>
      <c r="I40" s="43" t="inlineStr">
        <is>
          <t>INMUN-&gt;INDAD</t>
        </is>
      </c>
      <c r="J40" s="44" t="inlineStr">
        <is>
          <t>약 1,150km (철도ICD)</t>
        </is>
      </c>
      <c r="K40" s="46" t="n">
        <v>480</v>
      </c>
      <c r="L40" s="46" t="n">
        <v>510</v>
      </c>
      <c r="M40" s="46" t="n">
        <v>460</v>
      </c>
      <c r="N40" s="47">
        <f>AVERAGE(K40:M40)</f>
        <v/>
      </c>
      <c r="O40" s="48">
        <f>N40/24</f>
        <v/>
      </c>
      <c r="P40" s="48">
        <f>N40/22</f>
        <v/>
      </c>
      <c r="Q40" s="48">
        <f>N40/17</f>
        <v/>
      </c>
      <c r="R40" s="46" t="n">
        <v>960</v>
      </c>
    </row>
    <row r="41" ht="15" customHeight="1" s="32">
      <c r="A41" s="37" t="inlineStr">
        <is>
          <t>IN-&gt;IN_PUN</t>
        </is>
      </c>
      <c r="B41" s="37" t="inlineStr">
        <is>
          <t>IN</t>
        </is>
      </c>
      <c r="C41" s="38" t="inlineStr">
        <is>
          <t>인도</t>
        </is>
      </c>
      <c r="D41" s="38" t="inlineStr">
        <is>
          <t>나바셰바항 / 문드라항 (INNSA/INMUN)</t>
        </is>
      </c>
      <c r="E41" s="37" t="inlineStr">
        <is>
          <t>IN_PUN</t>
        </is>
      </c>
      <c r="F41" s="38" t="inlineStr">
        <is>
          <t>인도 (푸네)</t>
        </is>
      </c>
      <c r="G41" s="38" t="inlineStr">
        <is>
          <t>푸네 (Pune, Maharashtra)</t>
        </is>
      </c>
      <c r="H41" s="38" t="inlineStr">
        <is>
          <t>나바셰바항 (JNPT Mumbai)</t>
        </is>
      </c>
      <c r="I41" s="37" t="inlineStr">
        <is>
          <t>INNSA</t>
        </is>
      </c>
      <c r="J41" s="39" t="inlineStr">
        <is>
          <t>150km (고속도로)</t>
        </is>
      </c>
      <c r="K41" s="40" t="n">
        <v>360</v>
      </c>
      <c r="L41" s="40" t="n">
        <v>390</v>
      </c>
      <c r="M41" s="40" t="n">
        <v>350</v>
      </c>
      <c r="N41" s="41">
        <f>AVERAGE(K41:M41)</f>
        <v/>
      </c>
      <c r="O41" s="42">
        <f>N41/24</f>
        <v/>
      </c>
      <c r="P41" s="42">
        <f>N41/22</f>
        <v/>
      </c>
      <c r="Q41" s="42">
        <f>N41/17</f>
        <v/>
      </c>
      <c r="R41" s="40" t="n">
        <v>380</v>
      </c>
    </row>
    <row r="42" ht="15" customHeight="1" s="32">
      <c r="A42" s="43" t="inlineStr">
        <is>
          <t>IN-&gt;TH</t>
        </is>
      </c>
      <c r="B42" s="43" t="inlineStr">
        <is>
          <t>IN</t>
        </is>
      </c>
      <c r="C42" s="44" t="inlineStr">
        <is>
          <t>인도</t>
        </is>
      </c>
      <c r="D42" s="44" t="inlineStr">
        <is>
          <t>나바셰바항 / 문드라항 (INNSA/INMUN)</t>
        </is>
      </c>
      <c r="E42" s="43" t="inlineStr">
        <is>
          <t>TH</t>
        </is>
      </c>
      <c r="F42" s="44" t="inlineStr">
        <is>
          <t>태국 (람차방)</t>
        </is>
      </c>
      <c r="G42" s="44" t="inlineStr">
        <is>
          <t>람차방 / 라용 (Laem Chabang)</t>
        </is>
      </c>
      <c r="H42" s="44" t="inlineStr">
        <is>
          <t>람차방항 (Laem Chabang)</t>
        </is>
      </c>
      <c r="I42" s="43" t="inlineStr">
        <is>
          <t>THLCH</t>
        </is>
      </c>
      <c r="J42" s="45" t="inlineStr">
        <is>
          <t>30km (항만직결)</t>
        </is>
      </c>
      <c r="K42" s="46" t="n">
        <v>1480</v>
      </c>
      <c r="L42" s="46" t="n">
        <v>1560</v>
      </c>
      <c r="M42" s="46" t="n">
        <v>1410</v>
      </c>
      <c r="N42" s="47">
        <f>AVERAGE(K42:M42)</f>
        <v/>
      </c>
      <c r="O42" s="48">
        <f>N42/24</f>
        <v/>
      </c>
      <c r="P42" s="48">
        <f>N42/22</f>
        <v/>
      </c>
      <c r="Q42" s="48">
        <f>N42/17</f>
        <v/>
      </c>
      <c r="R42" s="46" t="n">
        <v>210</v>
      </c>
    </row>
    <row r="43" ht="15" customHeight="1" s="32">
      <c r="A43" s="37" t="inlineStr">
        <is>
          <t>IN-&gt;ID</t>
        </is>
      </c>
      <c r="B43" s="37" t="inlineStr">
        <is>
          <t>IN</t>
        </is>
      </c>
      <c r="C43" s="38" t="inlineStr">
        <is>
          <t>인도</t>
        </is>
      </c>
      <c r="D43" s="38" t="inlineStr">
        <is>
          <t>나바셰바항 / 문드라항 (INNSA/INMUN)</t>
        </is>
      </c>
      <c r="E43" s="37" t="inlineStr">
        <is>
          <t>ID</t>
        </is>
      </c>
      <c r="F43" s="38" t="inlineStr">
        <is>
          <t>인니 (자카르타)</t>
        </is>
      </c>
      <c r="G43" s="38" t="inlineStr">
        <is>
          <t>자카르타 (Jakarta / Cibitung)</t>
        </is>
      </c>
      <c r="H43" s="38" t="inlineStr">
        <is>
          <t>탄중프리옥항 (Tanjung Priok)</t>
        </is>
      </c>
      <c r="I43" s="37" t="inlineStr">
        <is>
          <t>IDJKT</t>
        </is>
      </c>
      <c r="J43" s="39" t="inlineStr">
        <is>
          <t>40km (수도권산단)</t>
        </is>
      </c>
      <c r="K43" s="40" t="n">
        <v>1590</v>
      </c>
      <c r="L43" s="40" t="n">
        <v>1680</v>
      </c>
      <c r="M43" s="40" t="n">
        <v>1520</v>
      </c>
      <c r="N43" s="41">
        <f>AVERAGE(K43:M43)</f>
        <v/>
      </c>
      <c r="O43" s="42">
        <f>N43/24</f>
        <v/>
      </c>
      <c r="P43" s="42">
        <f>N43/22</f>
        <v/>
      </c>
      <c r="Q43" s="42">
        <f>N43/17</f>
        <v/>
      </c>
      <c r="R43" s="40" t="n">
        <v>260</v>
      </c>
    </row>
    <row r="44" ht="15" customHeight="1" s="32">
      <c r="A44" s="43" t="inlineStr">
        <is>
          <t>IN-&gt;SA</t>
        </is>
      </c>
      <c r="B44" s="43" t="inlineStr">
        <is>
          <t>IN</t>
        </is>
      </c>
      <c r="C44" s="44" t="inlineStr">
        <is>
          <t>인도</t>
        </is>
      </c>
      <c r="D44" s="44" t="inlineStr">
        <is>
          <t>나바셰바항 / 문드라항 (INNSA/INMUN)</t>
        </is>
      </c>
      <c r="E44" s="43" t="inlineStr">
        <is>
          <t>SA</t>
        </is>
      </c>
      <c r="F44" s="44" t="inlineStr">
        <is>
          <t>사우디 (제다)</t>
        </is>
      </c>
      <c r="G44" s="44" t="inlineStr">
        <is>
          <t>제다 (Jeddah)</t>
        </is>
      </c>
      <c r="H44" s="44" t="inlineStr">
        <is>
          <t>제다 이슬람항 (Jeddah Islamic Port)</t>
        </is>
      </c>
      <c r="I44" s="43" t="inlineStr">
        <is>
          <t>SAJED</t>
        </is>
      </c>
      <c r="J44" s="45" t="inlineStr">
        <is>
          <t>25km (항만직결)</t>
        </is>
      </c>
      <c r="K44" s="46" t="n">
        <v>3180</v>
      </c>
      <c r="L44" s="46" t="n">
        <v>3390</v>
      </c>
      <c r="M44" s="46" t="n">
        <v>3040</v>
      </c>
      <c r="N44" s="47">
        <f>AVERAGE(K44:M44)</f>
        <v/>
      </c>
      <c r="O44" s="48">
        <f>N44/24</f>
        <v/>
      </c>
      <c r="P44" s="48">
        <f>N44/22</f>
        <v/>
      </c>
      <c r="Q44" s="48">
        <f>N44/17</f>
        <v/>
      </c>
      <c r="R44" s="46" t="n">
        <v>250</v>
      </c>
    </row>
    <row r="45" ht="15" customHeight="1" s="32">
      <c r="A45" s="37" t="inlineStr">
        <is>
          <t>IN-&gt;BR</t>
        </is>
      </c>
      <c r="B45" s="37" t="inlineStr">
        <is>
          <t>IN</t>
        </is>
      </c>
      <c r="C45" s="38" t="inlineStr">
        <is>
          <t>인도</t>
        </is>
      </c>
      <c r="D45" s="38" t="inlineStr">
        <is>
          <t>나바셰바항 / 문드라항 (INNSA/INMUN)</t>
        </is>
      </c>
      <c r="E45" s="37" t="inlineStr">
        <is>
          <t>BR</t>
        </is>
      </c>
      <c r="F45" s="38" t="inlineStr">
        <is>
          <t>브라질 (마나우스)</t>
        </is>
      </c>
      <c r="G45" s="38" t="inlineStr">
        <is>
          <t>마나우스 (Manaus, Amazonas)</t>
        </is>
      </c>
      <c r="H45" s="38" t="inlineStr">
        <is>
          <t>마나우스항 (Porto de Manaus / Chibatao)</t>
        </is>
      </c>
      <c r="I45" s="37" t="inlineStr">
        <is>
          <t>BRMAO</t>
        </is>
      </c>
      <c r="J45" s="39" t="inlineStr">
        <is>
          <t>15km (아마존하천항)</t>
        </is>
      </c>
      <c r="K45" s="40" t="n">
        <v>7250</v>
      </c>
      <c r="L45" s="40" t="n">
        <v>7540</v>
      </c>
      <c r="M45" s="40" t="n">
        <v>7080</v>
      </c>
      <c r="N45" s="41">
        <f>AVERAGE(K45:M45)</f>
        <v/>
      </c>
      <c r="O45" s="42">
        <f>N45/24</f>
        <v/>
      </c>
      <c r="P45" s="42">
        <f>N45/22</f>
        <v/>
      </c>
      <c r="Q45" s="42">
        <f>N45/17</f>
        <v/>
      </c>
      <c r="R45" s="40" t="n">
        <v>280</v>
      </c>
    </row>
    <row r="46" ht="15" customHeight="1" s="32">
      <c r="A46" s="43" t="inlineStr">
        <is>
          <t>IN-&gt;EG</t>
        </is>
      </c>
      <c r="B46" s="43" t="inlineStr">
        <is>
          <t>IN</t>
        </is>
      </c>
      <c r="C46" s="44" t="inlineStr">
        <is>
          <t>인도</t>
        </is>
      </c>
      <c r="D46" s="44" t="inlineStr">
        <is>
          <t>나바셰바항 / 문드라항 (INNSA/INMUN)</t>
        </is>
      </c>
      <c r="E46" s="43" t="inlineStr">
        <is>
          <t>EG</t>
        </is>
      </c>
      <c r="F46" s="44" t="inlineStr">
        <is>
          <t>이집트 (카이로)</t>
        </is>
      </c>
      <c r="G46" s="44" t="inlineStr">
        <is>
          <t>카이로 (Cairo / 10th of Ramadan)</t>
        </is>
      </c>
      <c r="H46" s="44" t="inlineStr">
        <is>
          <t>아인소크나항 (Ain Sokhna) / 알렉산드리아항</t>
        </is>
      </c>
      <c r="I46" s="43" t="inlineStr">
        <is>
          <t>EGSOK / EGALY</t>
        </is>
      </c>
      <c r="J46" s="45" t="inlineStr">
        <is>
          <t>120km (소크나-&gt;카이로)</t>
        </is>
      </c>
      <c r="K46" s="46" t="n">
        <v>3420</v>
      </c>
      <c r="L46" s="46" t="n">
        <v>3590</v>
      </c>
      <c r="M46" s="46" t="n">
        <v>3280</v>
      </c>
      <c r="N46" s="47">
        <f>AVERAGE(K46:M46)</f>
        <v/>
      </c>
      <c r="O46" s="48">
        <f>N46/24</f>
        <v/>
      </c>
      <c r="P46" s="48">
        <f>N46/22</f>
        <v/>
      </c>
      <c r="Q46" s="48">
        <f>N46/17</f>
        <v/>
      </c>
      <c r="R46" s="46" t="n">
        <v>350</v>
      </c>
    </row>
    <row r="47" ht="15" customHeight="1" s="32">
      <c r="A47" s="37" t="inlineStr">
        <is>
          <t>IN-&gt;US</t>
        </is>
      </c>
      <c r="B47" s="37" t="inlineStr">
        <is>
          <t>IN</t>
        </is>
      </c>
      <c r="C47" s="38" t="inlineStr">
        <is>
          <t>인도</t>
        </is>
      </c>
      <c r="D47" s="38" t="inlineStr">
        <is>
          <t>나바셰바항 / 문드라항 (INNSA/INMUN)</t>
        </is>
      </c>
      <c r="E47" s="37" t="inlineStr">
        <is>
          <t>US</t>
        </is>
      </c>
      <c r="F47" s="38" t="inlineStr">
        <is>
          <t>미국 (클락스빌)</t>
        </is>
      </c>
      <c r="G47" s="38" t="inlineStr">
        <is>
          <t>클락스빌 (Clarksville, TN)</t>
        </is>
      </c>
      <c r="H47" s="38" t="inlineStr">
        <is>
          <t>서배너항 (Savannah) / 찰스턴항 + 철도Ramp</t>
        </is>
      </c>
      <c r="I47" s="37" t="inlineStr">
        <is>
          <t>USSAV / USCHS</t>
        </is>
      </c>
      <c r="J47" s="38" t="inlineStr">
        <is>
          <t>약 720km (IPI 철도+트럭)</t>
        </is>
      </c>
      <c r="K47" s="40" t="n">
        <v>7450</v>
      </c>
      <c r="L47" s="40" t="n">
        <v>7720</v>
      </c>
      <c r="M47" s="40" t="n">
        <v>7260</v>
      </c>
      <c r="N47" s="41">
        <f>AVERAGE(K47:M47)</f>
        <v/>
      </c>
      <c r="O47" s="42">
        <f>N47/24</f>
        <v/>
      </c>
      <c r="P47" s="42">
        <f>N47/22</f>
        <v/>
      </c>
      <c r="Q47" s="42">
        <f>N47/17</f>
        <v/>
      </c>
      <c r="R47" s="40" t="n">
        <v>1350</v>
      </c>
    </row>
    <row r="48" ht="15" customHeight="1" s="32">
      <c r="A48" s="43" t="inlineStr">
        <is>
          <t>IN-&gt;NO</t>
        </is>
      </c>
      <c r="B48" s="43" t="inlineStr">
        <is>
          <t>IN</t>
        </is>
      </c>
      <c r="C48" s="44" t="inlineStr">
        <is>
          <t>인도</t>
        </is>
      </c>
      <c r="D48" s="44" t="inlineStr">
        <is>
          <t>나바셰바항 / 문드라항 (INNSA/INMUN)</t>
        </is>
      </c>
      <c r="E48" s="43" t="inlineStr">
        <is>
          <t>NO</t>
        </is>
      </c>
      <c r="F48" s="44" t="inlineStr">
        <is>
          <t>노르웨이 (오슬로)</t>
        </is>
      </c>
      <c r="G48" s="44" t="inlineStr">
        <is>
          <t>오슬로 (Oslo)</t>
        </is>
      </c>
      <c r="H48" s="44" t="inlineStr">
        <is>
          <t>오슬로항 (Port of Oslo)</t>
        </is>
      </c>
      <c r="I48" s="43" t="inlineStr">
        <is>
          <t>NOOSL</t>
        </is>
      </c>
      <c r="J48" s="45" t="inlineStr">
        <is>
          <t>20km (항만직결)</t>
        </is>
      </c>
      <c r="K48" s="46" t="n">
        <v>3290</v>
      </c>
      <c r="L48" s="46" t="n">
        <v>3460</v>
      </c>
      <c r="M48" s="46" t="n">
        <v>3150</v>
      </c>
      <c r="N48" s="47">
        <f>AVERAGE(K48:M48)</f>
        <v/>
      </c>
      <c r="O48" s="48">
        <f>N48/24</f>
        <v/>
      </c>
      <c r="P48" s="48">
        <f>N48/22</f>
        <v/>
      </c>
      <c r="Q48" s="48">
        <f>N48/17</f>
        <v/>
      </c>
      <c r="R48" s="46" t="n">
        <v>290</v>
      </c>
    </row>
    <row r="49" ht="15" customHeight="1" s="32">
      <c r="A49" s="37" t="inlineStr">
        <is>
          <t>US-&gt;KR</t>
        </is>
      </c>
      <c r="B49" s="37" t="inlineStr">
        <is>
          <t>US</t>
        </is>
      </c>
      <c r="C49" s="38" t="inlineStr">
        <is>
          <t>미국</t>
        </is>
      </c>
      <c r="D49" s="38" t="inlineStr">
        <is>
          <t>휴스턴항 / 서배너항 (USHOU/USSAV)</t>
        </is>
      </c>
      <c r="E49" s="37" t="inlineStr">
        <is>
          <t>KR</t>
        </is>
      </c>
      <c r="F49" s="38" t="inlineStr">
        <is>
          <t>한국 (부산)</t>
        </is>
      </c>
      <c r="G49" s="38" t="inlineStr">
        <is>
          <t>부산 (Busan)</t>
        </is>
      </c>
      <c r="H49" s="38" t="inlineStr">
        <is>
          <t>부산항 (Port of Busan)</t>
        </is>
      </c>
      <c r="I49" s="37" t="inlineStr">
        <is>
          <t>KRPUS</t>
        </is>
      </c>
      <c r="J49" s="39" t="inlineStr">
        <is>
          <t>25km (항만직결)</t>
        </is>
      </c>
      <c r="K49" s="40" t="n">
        <v>1950</v>
      </c>
      <c r="L49" s="40" t="n">
        <v>2100</v>
      </c>
      <c r="M49" s="40" t="n">
        <v>1890</v>
      </c>
      <c r="N49" s="41">
        <f>AVERAGE(K49:M49)</f>
        <v/>
      </c>
      <c r="O49" s="42">
        <f>N49/24</f>
        <v/>
      </c>
      <c r="P49" s="42">
        <f>N49/22</f>
        <v/>
      </c>
      <c r="Q49" s="42">
        <f>N49/17</f>
        <v/>
      </c>
      <c r="R49" s="40" t="n">
        <v>220</v>
      </c>
    </row>
    <row r="50" ht="15" customHeight="1" s="32">
      <c r="A50" s="43" t="inlineStr">
        <is>
          <t>US-&gt;CN</t>
        </is>
      </c>
      <c r="B50" s="43" t="inlineStr">
        <is>
          <t>US</t>
        </is>
      </c>
      <c r="C50" s="44" t="inlineStr">
        <is>
          <t>미국</t>
        </is>
      </c>
      <c r="D50" s="44" t="inlineStr">
        <is>
          <t>휴스턴항 / 서배너항 (USHOU/USSAV)</t>
        </is>
      </c>
      <c r="E50" s="43" t="inlineStr">
        <is>
          <t>CN</t>
        </is>
      </c>
      <c r="F50" s="44" t="inlineStr">
        <is>
          <t>중국 (천진)</t>
        </is>
      </c>
      <c r="G50" s="44" t="inlineStr">
        <is>
          <t>천진 (Tianjin)</t>
        </is>
      </c>
      <c r="H50" s="44" t="inlineStr">
        <is>
          <t>천진 신강항 (Tianjin Xingang)</t>
        </is>
      </c>
      <c r="I50" s="43" t="inlineStr">
        <is>
          <t>CNTSN</t>
        </is>
      </c>
      <c r="J50" s="45" t="inlineStr">
        <is>
          <t>45km (항만직결)</t>
        </is>
      </c>
      <c r="K50" s="46" t="n">
        <v>1980</v>
      </c>
      <c r="L50" s="46" t="n">
        <v>2120</v>
      </c>
      <c r="M50" s="46" t="n">
        <v>1910</v>
      </c>
      <c r="N50" s="47">
        <f>AVERAGE(K50:M50)</f>
        <v/>
      </c>
      <c r="O50" s="48">
        <f>N50/24</f>
        <v/>
      </c>
      <c r="P50" s="48">
        <f>N50/22</f>
        <v/>
      </c>
      <c r="Q50" s="48">
        <f>N50/17</f>
        <v/>
      </c>
      <c r="R50" s="46" t="n">
        <v>240</v>
      </c>
    </row>
    <row r="51" ht="15" customHeight="1" s="32">
      <c r="A51" s="37" t="inlineStr">
        <is>
          <t>US-&gt;IN_NOI</t>
        </is>
      </c>
      <c r="B51" s="37" t="inlineStr">
        <is>
          <t>US</t>
        </is>
      </c>
      <c r="C51" s="38" t="inlineStr">
        <is>
          <t>미국</t>
        </is>
      </c>
      <c r="D51" s="38" t="inlineStr">
        <is>
          <t>휴스턴항 / 서배너항 (USHOU/USSAV)</t>
        </is>
      </c>
      <c r="E51" s="37" t="inlineStr">
        <is>
          <t>IN_NOI</t>
        </is>
      </c>
      <c r="F51" s="38" t="inlineStr">
        <is>
          <t>인도 (노이다)</t>
        </is>
      </c>
      <c r="G51" s="38" t="inlineStr">
        <is>
          <t>노이다 (Noida, Delhi NCR)</t>
        </is>
      </c>
      <c r="H51" s="38" t="inlineStr">
        <is>
          <t>문드라항 (Mundra) + ICD 다드리</t>
        </is>
      </c>
      <c r="I51" s="37" t="inlineStr">
        <is>
          <t>INMUN-&gt;INDAD</t>
        </is>
      </c>
      <c r="J51" s="38" t="inlineStr">
        <is>
          <t>약 1,150km (철도ICD)</t>
        </is>
      </c>
      <c r="K51" s="40" t="n">
        <v>2780</v>
      </c>
      <c r="L51" s="40" t="n">
        <v>2940</v>
      </c>
      <c r="M51" s="40" t="n">
        <v>2660</v>
      </c>
      <c r="N51" s="41">
        <f>AVERAGE(K51:M51)</f>
        <v/>
      </c>
      <c r="O51" s="42">
        <f>N51/24</f>
        <v/>
      </c>
      <c r="P51" s="42">
        <f>N51/22</f>
        <v/>
      </c>
      <c r="Q51" s="42">
        <f>N51/17</f>
        <v/>
      </c>
      <c r="R51" s="40" t="n">
        <v>960</v>
      </c>
    </row>
    <row r="52" ht="15" customHeight="1" s="32">
      <c r="A52" s="43" t="inlineStr">
        <is>
          <t>US-&gt;IN_PUN</t>
        </is>
      </c>
      <c r="B52" s="43" t="inlineStr">
        <is>
          <t>US</t>
        </is>
      </c>
      <c r="C52" s="44" t="inlineStr">
        <is>
          <t>미국</t>
        </is>
      </c>
      <c r="D52" s="44" t="inlineStr">
        <is>
          <t>휴스턴항 / 서배너항 (USHOU/USSAV)</t>
        </is>
      </c>
      <c r="E52" s="43" t="inlineStr">
        <is>
          <t>IN_PUN</t>
        </is>
      </c>
      <c r="F52" s="44" t="inlineStr">
        <is>
          <t>인도 (푸네)</t>
        </is>
      </c>
      <c r="G52" s="44" t="inlineStr">
        <is>
          <t>푸네 (Pune, Maharashtra)</t>
        </is>
      </c>
      <c r="H52" s="44" t="inlineStr">
        <is>
          <t>나바셰바항 (JNPT Mumbai)</t>
        </is>
      </c>
      <c r="I52" s="43" t="inlineStr">
        <is>
          <t>INNSA</t>
        </is>
      </c>
      <c r="J52" s="45" t="inlineStr">
        <is>
          <t>150km (고속도로)</t>
        </is>
      </c>
      <c r="K52" s="46" t="n">
        <v>2650</v>
      </c>
      <c r="L52" s="46" t="n">
        <v>2800</v>
      </c>
      <c r="M52" s="46" t="n">
        <v>2540</v>
      </c>
      <c r="N52" s="47">
        <f>AVERAGE(K52:M52)</f>
        <v/>
      </c>
      <c r="O52" s="48">
        <f>N52/24</f>
        <v/>
      </c>
      <c r="P52" s="48">
        <f>N52/22</f>
        <v/>
      </c>
      <c r="Q52" s="48">
        <f>N52/17</f>
        <v/>
      </c>
      <c r="R52" s="46" t="n">
        <v>380</v>
      </c>
    </row>
    <row r="53" ht="15" customHeight="1" s="32">
      <c r="A53" s="37" t="inlineStr">
        <is>
          <t>US-&gt;TH</t>
        </is>
      </c>
      <c r="B53" s="37" t="inlineStr">
        <is>
          <t>US</t>
        </is>
      </c>
      <c r="C53" s="38" t="inlineStr">
        <is>
          <t>미국</t>
        </is>
      </c>
      <c r="D53" s="38" t="inlineStr">
        <is>
          <t>휴스턴항 / 서배너항 (USHOU/USSAV)</t>
        </is>
      </c>
      <c r="E53" s="37" t="inlineStr">
        <is>
          <t>TH</t>
        </is>
      </c>
      <c r="F53" s="38" t="inlineStr">
        <is>
          <t>태국 (람차방)</t>
        </is>
      </c>
      <c r="G53" s="38" t="inlineStr">
        <is>
          <t>람차방 / 라용 (Laem Chabang)</t>
        </is>
      </c>
      <c r="H53" s="38" t="inlineStr">
        <is>
          <t>람차방항 (Laem Chabang)</t>
        </is>
      </c>
      <c r="I53" s="37" t="inlineStr">
        <is>
          <t>THLCH</t>
        </is>
      </c>
      <c r="J53" s="39" t="inlineStr">
        <is>
          <t>30km (항만직결)</t>
        </is>
      </c>
      <c r="K53" s="40" t="n">
        <v>2350</v>
      </c>
      <c r="L53" s="40" t="n">
        <v>2480</v>
      </c>
      <c r="M53" s="40" t="n">
        <v>2260</v>
      </c>
      <c r="N53" s="41">
        <f>AVERAGE(K53:M53)</f>
        <v/>
      </c>
      <c r="O53" s="42">
        <f>N53/24</f>
        <v/>
      </c>
      <c r="P53" s="42">
        <f>N53/22</f>
        <v/>
      </c>
      <c r="Q53" s="42">
        <f>N53/17</f>
        <v/>
      </c>
      <c r="R53" s="40" t="n">
        <v>210</v>
      </c>
    </row>
    <row r="54" ht="15" customHeight="1" s="32">
      <c r="A54" s="43" t="inlineStr">
        <is>
          <t>US-&gt;ID</t>
        </is>
      </c>
      <c r="B54" s="43" t="inlineStr">
        <is>
          <t>US</t>
        </is>
      </c>
      <c r="C54" s="44" t="inlineStr">
        <is>
          <t>미국</t>
        </is>
      </c>
      <c r="D54" s="44" t="inlineStr">
        <is>
          <t>휴스턴항 / 서배너항 (USHOU/USSAV)</t>
        </is>
      </c>
      <c r="E54" s="43" t="inlineStr">
        <is>
          <t>ID</t>
        </is>
      </c>
      <c r="F54" s="44" t="inlineStr">
        <is>
          <t>인니 (자카르타)</t>
        </is>
      </c>
      <c r="G54" s="44" t="inlineStr">
        <is>
          <t>자카르타 (Jakarta / Cibitung)</t>
        </is>
      </c>
      <c r="H54" s="44" t="inlineStr">
        <is>
          <t>탄중프리옥항 (Tanjung Priok)</t>
        </is>
      </c>
      <c r="I54" s="43" t="inlineStr">
        <is>
          <t>IDJKT</t>
        </is>
      </c>
      <c r="J54" s="45" t="inlineStr">
        <is>
          <t>40km (수도권산단)</t>
        </is>
      </c>
      <c r="K54" s="46" t="n">
        <v>2480</v>
      </c>
      <c r="L54" s="46" t="n">
        <v>2620</v>
      </c>
      <c r="M54" s="46" t="n">
        <v>2390</v>
      </c>
      <c r="N54" s="47">
        <f>AVERAGE(K54:M54)</f>
        <v/>
      </c>
      <c r="O54" s="48">
        <f>N54/24</f>
        <v/>
      </c>
      <c r="P54" s="48">
        <f>N54/22</f>
        <v/>
      </c>
      <c r="Q54" s="48">
        <f>N54/17</f>
        <v/>
      </c>
      <c r="R54" s="46" t="n">
        <v>260</v>
      </c>
    </row>
    <row r="55" ht="15" customHeight="1" s="32">
      <c r="A55" s="37" t="inlineStr">
        <is>
          <t>US-&gt;SA</t>
        </is>
      </c>
      <c r="B55" s="37" t="inlineStr">
        <is>
          <t>US</t>
        </is>
      </c>
      <c r="C55" s="38" t="inlineStr">
        <is>
          <t>미국</t>
        </is>
      </c>
      <c r="D55" s="38" t="inlineStr">
        <is>
          <t>휴스턴항 / 서배너항 (USHOU/USSAV)</t>
        </is>
      </c>
      <c r="E55" s="37" t="inlineStr">
        <is>
          <t>SA</t>
        </is>
      </c>
      <c r="F55" s="38" t="inlineStr">
        <is>
          <t>사우디 (제다)</t>
        </is>
      </c>
      <c r="G55" s="38" t="inlineStr">
        <is>
          <t>제다 (Jeddah)</t>
        </is>
      </c>
      <c r="H55" s="38" t="inlineStr">
        <is>
          <t>제다 이슬람항 (Jeddah Islamic Port)</t>
        </is>
      </c>
      <c r="I55" s="37" t="inlineStr">
        <is>
          <t>SAJED</t>
        </is>
      </c>
      <c r="J55" s="39" t="inlineStr">
        <is>
          <t>25km (항만직결)</t>
        </is>
      </c>
      <c r="K55" s="40" t="n">
        <v>4450</v>
      </c>
      <c r="L55" s="40" t="n">
        <v>4680</v>
      </c>
      <c r="M55" s="40" t="n">
        <v>4320</v>
      </c>
      <c r="N55" s="41">
        <f>AVERAGE(K55:M55)</f>
        <v/>
      </c>
      <c r="O55" s="42">
        <f>N55/24</f>
        <v/>
      </c>
      <c r="P55" s="42">
        <f>N55/22</f>
        <v/>
      </c>
      <c r="Q55" s="42">
        <f>N55/17</f>
        <v/>
      </c>
      <c r="R55" s="40" t="n">
        <v>250</v>
      </c>
    </row>
    <row r="56" ht="15" customHeight="1" s="32">
      <c r="A56" s="43" t="inlineStr">
        <is>
          <t>US-&gt;BR</t>
        </is>
      </c>
      <c r="B56" s="43" t="inlineStr">
        <is>
          <t>US</t>
        </is>
      </c>
      <c r="C56" s="44" t="inlineStr">
        <is>
          <t>미국</t>
        </is>
      </c>
      <c r="D56" s="44" t="inlineStr">
        <is>
          <t>휴스턴항 / 서배너항 (USHOU/USSAV)</t>
        </is>
      </c>
      <c r="E56" s="43" t="inlineStr">
        <is>
          <t>BR</t>
        </is>
      </c>
      <c r="F56" s="44" t="inlineStr">
        <is>
          <t>브라질 (마나우스)</t>
        </is>
      </c>
      <c r="G56" s="44" t="inlineStr">
        <is>
          <t>마나우스 (Manaus, Amazonas)</t>
        </is>
      </c>
      <c r="H56" s="44" t="inlineStr">
        <is>
          <t>마나우스항 (Porto de Manaus / Chibatao)</t>
        </is>
      </c>
      <c r="I56" s="43" t="inlineStr">
        <is>
          <t>BRMAO</t>
        </is>
      </c>
      <c r="J56" s="45" t="inlineStr">
        <is>
          <t>15km (아마존하천항)</t>
        </is>
      </c>
      <c r="K56" s="46" t="n">
        <v>3680</v>
      </c>
      <c r="L56" s="46" t="n">
        <v>3890</v>
      </c>
      <c r="M56" s="46" t="n">
        <v>3540</v>
      </c>
      <c r="N56" s="47">
        <f>AVERAGE(K56:M56)</f>
        <v/>
      </c>
      <c r="O56" s="48">
        <f>N56/24</f>
        <v/>
      </c>
      <c r="P56" s="48">
        <f>N56/22</f>
        <v/>
      </c>
      <c r="Q56" s="48">
        <f>N56/17</f>
        <v/>
      </c>
      <c r="R56" s="46" t="n">
        <v>280</v>
      </c>
    </row>
    <row r="57" ht="15" customHeight="1" s="32">
      <c r="A57" s="37" t="inlineStr">
        <is>
          <t>US-&gt;EG</t>
        </is>
      </c>
      <c r="B57" s="37" t="inlineStr">
        <is>
          <t>US</t>
        </is>
      </c>
      <c r="C57" s="38" t="inlineStr">
        <is>
          <t>미국</t>
        </is>
      </c>
      <c r="D57" s="38" t="inlineStr">
        <is>
          <t>휴스턴항 / 서배너항 (USHOU/USSAV)</t>
        </is>
      </c>
      <c r="E57" s="37" t="inlineStr">
        <is>
          <t>EG</t>
        </is>
      </c>
      <c r="F57" s="38" t="inlineStr">
        <is>
          <t>이집트 (카이로)</t>
        </is>
      </c>
      <c r="G57" s="38" t="inlineStr">
        <is>
          <t>카이로 (Cairo / 10th of Ramadan)</t>
        </is>
      </c>
      <c r="H57" s="38" t="inlineStr">
        <is>
          <t>아인소크나항 (Ain Sokhna) / 알렉산드리아항</t>
        </is>
      </c>
      <c r="I57" s="37" t="inlineStr">
        <is>
          <t>EGSOK / EGALY</t>
        </is>
      </c>
      <c r="J57" s="39" t="inlineStr">
        <is>
          <t>120km (소크나-&gt;카이로)</t>
        </is>
      </c>
      <c r="K57" s="40" t="n">
        <v>3280</v>
      </c>
      <c r="L57" s="40" t="n">
        <v>3450</v>
      </c>
      <c r="M57" s="40" t="n">
        <v>3160</v>
      </c>
      <c r="N57" s="41">
        <f>AVERAGE(K57:M57)</f>
        <v/>
      </c>
      <c r="O57" s="42">
        <f>N57/24</f>
        <v/>
      </c>
      <c r="P57" s="42">
        <f>N57/22</f>
        <v/>
      </c>
      <c r="Q57" s="42">
        <f>N57/17</f>
        <v/>
      </c>
      <c r="R57" s="40" t="n">
        <v>350</v>
      </c>
    </row>
    <row r="58" ht="15" customHeight="1" s="32">
      <c r="A58" s="43" t="inlineStr">
        <is>
          <t>US-&gt;US</t>
        </is>
      </c>
      <c r="B58" s="43" t="inlineStr">
        <is>
          <t>US</t>
        </is>
      </c>
      <c r="C58" s="44" t="inlineStr">
        <is>
          <t>미국</t>
        </is>
      </c>
      <c r="D58" s="44" t="inlineStr">
        <is>
          <t>휴스턴항 / 서배너항 (USHOU/USSAV)</t>
        </is>
      </c>
      <c r="E58" s="43" t="inlineStr">
        <is>
          <t>US</t>
        </is>
      </c>
      <c r="F58" s="44" t="inlineStr">
        <is>
          <t>미국 (클락스빌)</t>
        </is>
      </c>
      <c r="G58" s="44" t="inlineStr">
        <is>
          <t>클락스빌 (Clarksville, TN)</t>
        </is>
      </c>
      <c r="H58" s="44" t="inlineStr">
        <is>
          <t>서배너항 (Savannah) / 찰스턴항 + 철도Ramp</t>
        </is>
      </c>
      <c r="I58" s="43" t="inlineStr">
        <is>
          <t>USSAV / USCHS</t>
        </is>
      </c>
      <c r="J58" s="44" t="inlineStr">
        <is>
          <t>약 720km (IPI 철도+트럭)</t>
        </is>
      </c>
      <c r="K58" s="46" t="n">
        <v>580</v>
      </c>
      <c r="L58" s="46" t="n">
        <v>610</v>
      </c>
      <c r="M58" s="46" t="n">
        <v>560</v>
      </c>
      <c r="N58" s="47">
        <f>AVERAGE(K58:M58)</f>
        <v/>
      </c>
      <c r="O58" s="48">
        <f>N58/24</f>
        <v/>
      </c>
      <c r="P58" s="48">
        <f>N58/22</f>
        <v/>
      </c>
      <c r="Q58" s="48">
        <f>N58/17</f>
        <v/>
      </c>
      <c r="R58" s="46" t="n">
        <v>1350</v>
      </c>
    </row>
    <row r="59" ht="15" customHeight="1" s="32">
      <c r="A59" s="37" t="inlineStr">
        <is>
          <t>US-&gt;NO</t>
        </is>
      </c>
      <c r="B59" s="37" t="inlineStr">
        <is>
          <t>US</t>
        </is>
      </c>
      <c r="C59" s="38" t="inlineStr">
        <is>
          <t>미국</t>
        </is>
      </c>
      <c r="D59" s="38" t="inlineStr">
        <is>
          <t>휴스턴항 / 서배너항 (USHOU/USSAV)</t>
        </is>
      </c>
      <c r="E59" s="37" t="inlineStr">
        <is>
          <t>NO</t>
        </is>
      </c>
      <c r="F59" s="38" t="inlineStr">
        <is>
          <t>노르웨이 (오슬로)</t>
        </is>
      </c>
      <c r="G59" s="38" t="inlineStr">
        <is>
          <t>오슬로 (Oslo)</t>
        </is>
      </c>
      <c r="H59" s="38" t="inlineStr">
        <is>
          <t>오슬로항 (Port of Oslo)</t>
        </is>
      </c>
      <c r="I59" s="37" t="inlineStr">
        <is>
          <t>NOOSL</t>
        </is>
      </c>
      <c r="J59" s="39" t="inlineStr">
        <is>
          <t>20km (항만직결)</t>
        </is>
      </c>
      <c r="K59" s="40" t="n">
        <v>1580</v>
      </c>
      <c r="L59" s="40" t="n">
        <v>1690</v>
      </c>
      <c r="M59" s="40" t="n">
        <v>1510</v>
      </c>
      <c r="N59" s="41">
        <f>AVERAGE(K59:M59)</f>
        <v/>
      </c>
      <c r="O59" s="42">
        <f>N59/24</f>
        <v/>
      </c>
      <c r="P59" s="42">
        <f>N59/22</f>
        <v/>
      </c>
      <c r="Q59" s="42">
        <f>N59/17</f>
        <v/>
      </c>
      <c r="R59" s="40" t="n">
        <v>290</v>
      </c>
    </row>
  </sheetData>
  <mergeCells count="2">
    <mergeCell ref="A2:R2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P3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1" min="1" max="2"/>
    <col width="22" customWidth="1" style="31" min="3" max="3"/>
    <col width="14" customWidth="1" style="31" min="4" max="4"/>
    <col width="12" customWidth="1" style="31" min="5" max="7"/>
    <col width="14" customWidth="1" style="31" min="8" max="8"/>
    <col width="42" customWidth="1" style="31" min="9" max="9"/>
    <col width="15" customWidth="1" style="31" min="10" max="11"/>
    <col width="12" customWidth="1" style="31" min="12" max="12"/>
    <col width="27" customWidth="1" style="31" min="13" max="13"/>
    <col width="18" customWidth="1" style="31" min="14" max="14"/>
    <col width="16" customWidth="1" style="31" min="15" max="15"/>
    <col width="42" customWidth="1" style="31" min="16" max="16"/>
  </cols>
  <sheetData>
    <row r="1" ht="25.5" customHeight="1" s="32">
      <c r="A1" s="33" t="inlineStr">
        <is>
          <t>글로벌 원재료 6종 × 55개 항로 관세(MFN·FTA) 및 무역구제(AD·CVD·232조·301조) Raw Data (330개 구간)</t>
        </is>
      </c>
    </row>
    <row r="2" ht="18.75" customHeight="1" s="32">
      <c r="A2" s="34" t="inlineStr">
        <is>
          <t>한국 무역위·재정경제부고시 제2026-80호(2026.6.12 시행) 중국산 도금·컬러강판 반덤핑 관세(22.34%~33.67%, 기본 25.75%) 및 미국 232조(50%)/301조 반영</t>
        </is>
      </c>
    </row>
    <row r="4" ht="25.5" customHeight="1" s="32">
      <c r="A4" s="35" t="inlineStr">
        <is>
          <t>품목코드</t>
        </is>
      </c>
      <c r="B4" s="35" t="inlineStr">
        <is>
          <t>품목군</t>
        </is>
      </c>
      <c r="C4" s="35" t="inlineStr">
        <is>
          <t>원재료명</t>
        </is>
      </c>
      <c r="D4" s="36" t="inlineStr">
        <is>
          <t>HS_Code</t>
        </is>
      </c>
      <c r="E4" s="35" t="inlineStr">
        <is>
          <t>출발국코드</t>
        </is>
      </c>
      <c r="F4" s="35" t="inlineStr">
        <is>
          <t>출발국가</t>
        </is>
      </c>
      <c r="G4" s="35" t="inlineStr">
        <is>
          <t>도착거점코드</t>
        </is>
      </c>
      <c r="H4" s="35" t="inlineStr">
        <is>
          <t>도착법인거점</t>
        </is>
      </c>
      <c r="I4" s="35" t="inlineStr">
        <is>
          <t>통관기준항(POD)</t>
        </is>
      </c>
      <c r="J4" s="35" t="inlineStr">
        <is>
          <t>일반관세_MFN(%)</t>
        </is>
      </c>
      <c r="K4" s="35" t="inlineStr">
        <is>
          <t>양허관세_FTA(%)</t>
        </is>
      </c>
      <c r="L4" s="36" t="inlineStr">
        <is>
          <t>FTA적용여부</t>
        </is>
      </c>
      <c r="M4" s="35" t="inlineStr">
        <is>
          <t>적용협정명</t>
        </is>
      </c>
      <c r="N4" s="35" t="inlineStr">
        <is>
          <t>무역구제_AD_CVD(%)</t>
        </is>
      </c>
      <c r="O4" s="35" t="inlineStr">
        <is>
          <t>최종실효관세율(%)</t>
        </is>
      </c>
      <c r="P4" s="35" t="inlineStr">
        <is>
          <t>무역구제_및_법적근거_상세</t>
        </is>
      </c>
    </row>
    <row r="5" ht="15" customHeight="1" s="32">
      <c r="A5" s="37" t="inlineStr">
        <is>
          <t>GI</t>
        </is>
      </c>
      <c r="B5" s="37" t="inlineStr">
        <is>
          <t>Steel</t>
        </is>
      </c>
      <c r="C5" s="39" t="inlineStr">
        <is>
          <t>GI (용융아연도금강판)</t>
        </is>
      </c>
      <c r="D5" s="37" t="inlineStr">
        <is>
          <t>HS 7210.49</t>
        </is>
      </c>
      <c r="E5" s="37" t="inlineStr">
        <is>
          <t>KR</t>
        </is>
      </c>
      <c r="F5" s="38" t="inlineStr">
        <is>
          <t>한국</t>
        </is>
      </c>
      <c r="G5" s="37" t="inlineStr">
        <is>
          <t>KR</t>
        </is>
      </c>
      <c r="H5" s="38" t="inlineStr">
        <is>
          <t>한국 (부산)</t>
        </is>
      </c>
      <c r="I5" s="38" t="inlineStr">
        <is>
          <t>부산항 (Port of Busan) (KRPUS)</t>
        </is>
      </c>
      <c r="J5" s="49" t="n">
        <v>0</v>
      </c>
      <c r="K5" s="49" t="n">
        <v>0</v>
      </c>
      <c r="L5" s="37" t="inlineStr">
        <is>
          <t>N</t>
        </is>
      </c>
      <c r="M5" s="38" t="inlineStr">
        <is>
          <t>내수 조달 (관세 없음)</t>
        </is>
      </c>
      <c r="N5" s="49" t="n">
        <v>0</v>
      </c>
      <c r="O5" s="50">
        <f>IF(L5="Y",K5,J5)+N5</f>
        <v/>
      </c>
      <c r="P5" s="38" t="inlineStr">
        <is>
          <t>동일 국가 내 조달 (부산 (Busan) 직송, 수입관세 면제)</t>
        </is>
      </c>
    </row>
    <row r="6" ht="15" customHeight="1" s="32">
      <c r="A6" s="43" t="inlineStr">
        <is>
          <t>GI</t>
        </is>
      </c>
      <c r="B6" s="43" t="inlineStr">
        <is>
          <t>Steel</t>
        </is>
      </c>
      <c r="C6" s="45" t="inlineStr">
        <is>
          <t>GI (용융아연도금강판)</t>
        </is>
      </c>
      <c r="D6" s="43" t="inlineStr">
        <is>
          <t>HS 7210.49</t>
        </is>
      </c>
      <c r="E6" s="43" t="inlineStr">
        <is>
          <t>KR</t>
        </is>
      </c>
      <c r="F6" s="44" t="inlineStr">
        <is>
          <t>한국</t>
        </is>
      </c>
      <c r="G6" s="43" t="inlineStr">
        <is>
          <t>CN</t>
        </is>
      </c>
      <c r="H6" s="44" t="inlineStr">
        <is>
          <t>중국 (천진)</t>
        </is>
      </c>
      <c r="I6" s="44" t="inlineStr">
        <is>
          <t>천진 신강항 (Tianjin Xingang) (CNTSN)</t>
        </is>
      </c>
      <c r="J6" s="51" t="n">
        <v>0.05</v>
      </c>
      <c r="K6" s="51" t="n">
        <v>0.025</v>
      </c>
      <c r="L6" s="43" t="inlineStr">
        <is>
          <t>Y</t>
        </is>
      </c>
      <c r="M6" s="45" t="inlineStr">
        <is>
          <t>RCEP 양허</t>
        </is>
      </c>
      <c r="N6" s="51" t="n">
        <v>0</v>
      </c>
      <c r="O6" s="52">
        <f>IF(L6="Y",K6,J6)+N6</f>
        <v/>
      </c>
      <c r="P6" s="44" t="inlineStr">
        <is>
          <t>천진 신강항(CNTSN) 통관: RCEP 및 중-아세안 양허세율 적용</t>
        </is>
      </c>
    </row>
    <row r="7" ht="15" customHeight="1" s="32">
      <c r="A7" s="37" t="inlineStr">
        <is>
          <t>GI</t>
        </is>
      </c>
      <c r="B7" s="37" t="inlineStr">
        <is>
          <t>Steel</t>
        </is>
      </c>
      <c r="C7" s="39" t="inlineStr">
        <is>
          <t>GI (용융아연도금강판)</t>
        </is>
      </c>
      <c r="D7" s="37" t="inlineStr">
        <is>
          <t>HS 7210.49</t>
        </is>
      </c>
      <c r="E7" s="37" t="inlineStr">
        <is>
          <t>KR</t>
        </is>
      </c>
      <c r="F7" s="38" t="inlineStr">
        <is>
          <t>한국</t>
        </is>
      </c>
      <c r="G7" s="37" t="inlineStr">
        <is>
          <t>IN_NOI</t>
        </is>
      </c>
      <c r="H7" s="38" t="inlineStr">
        <is>
          <t>인도 (노이다)</t>
        </is>
      </c>
      <c r="I7" s="38" t="inlineStr">
        <is>
          <t>문드라항 (Mundra) + ICD 다드리 (INMUN-&gt;INDAD)</t>
        </is>
      </c>
      <c r="J7" s="49" t="n">
        <v>0.11</v>
      </c>
      <c r="K7" s="49" t="n">
        <v>0</v>
      </c>
      <c r="L7" s="37" t="inlineStr">
        <is>
          <t>Y</t>
        </is>
      </c>
      <c r="M7" s="38" t="inlineStr">
        <is>
          <t>한-인도 CEPA</t>
        </is>
      </c>
      <c r="N7" s="49" t="n">
        <v>0</v>
      </c>
      <c r="O7" s="50">
        <f>IF(L7="Y",K7,J7)+N7</f>
        <v/>
      </c>
      <c r="P7" s="38" t="inlineStr">
        <is>
          <t>문드라항-&gt;ICD 다드리(노이다) 통관: 한-인도 CEPA 철강 0% 양허 (BIS 인증 필수)</t>
        </is>
      </c>
    </row>
    <row r="8" ht="15" customHeight="1" s="32">
      <c r="A8" s="43" t="inlineStr">
        <is>
          <t>GI</t>
        </is>
      </c>
      <c r="B8" s="43" t="inlineStr">
        <is>
          <t>Steel</t>
        </is>
      </c>
      <c r="C8" s="45" t="inlineStr">
        <is>
          <t>GI (용융아연도금강판)</t>
        </is>
      </c>
      <c r="D8" s="43" t="inlineStr">
        <is>
          <t>HS 7210.49</t>
        </is>
      </c>
      <c r="E8" s="43" t="inlineStr">
        <is>
          <t>KR</t>
        </is>
      </c>
      <c r="F8" s="44" t="inlineStr">
        <is>
          <t>한국</t>
        </is>
      </c>
      <c r="G8" s="43" t="inlineStr">
        <is>
          <t>IN_PUN</t>
        </is>
      </c>
      <c r="H8" s="44" t="inlineStr">
        <is>
          <t>인도 (푸네)</t>
        </is>
      </c>
      <c r="I8" s="44" t="inlineStr">
        <is>
          <t>나바셰바항 (JNPT Mumbai) (INNSA)</t>
        </is>
      </c>
      <c r="J8" s="51" t="n">
        <v>0.11</v>
      </c>
      <c r="K8" s="51" t="n">
        <v>0</v>
      </c>
      <c r="L8" s="43" t="inlineStr">
        <is>
          <t>Y</t>
        </is>
      </c>
      <c r="M8" s="44" t="inlineStr">
        <is>
          <t>한-인도 CEPA</t>
        </is>
      </c>
      <c r="N8" s="51" t="n">
        <v>0</v>
      </c>
      <c r="O8" s="52">
        <f>IF(L8="Y",K8,J8)+N8</f>
        <v/>
      </c>
      <c r="P8" s="44" t="inlineStr">
        <is>
          <t>나바셰바항(푸네) 통관: 한-인도 CEPA 철강 0% 양허 (BIS 인증 필수)</t>
        </is>
      </c>
    </row>
    <row r="9" ht="15" customHeight="1" s="32">
      <c r="A9" s="37" t="inlineStr">
        <is>
          <t>GI</t>
        </is>
      </c>
      <c r="B9" s="37" t="inlineStr">
        <is>
          <t>Steel</t>
        </is>
      </c>
      <c r="C9" s="39" t="inlineStr">
        <is>
          <t>GI (용융아연도금강판)</t>
        </is>
      </c>
      <c r="D9" s="37" t="inlineStr">
        <is>
          <t>HS 7210.49</t>
        </is>
      </c>
      <c r="E9" s="37" t="inlineStr">
        <is>
          <t>KR</t>
        </is>
      </c>
      <c r="F9" s="38" t="inlineStr">
        <is>
          <t>한국</t>
        </is>
      </c>
      <c r="G9" s="37" t="inlineStr">
        <is>
          <t>TH</t>
        </is>
      </c>
      <c r="H9" s="38" t="inlineStr">
        <is>
          <t>태국 (람차방)</t>
        </is>
      </c>
      <c r="I9" s="38" t="inlineStr">
        <is>
          <t>람차방항 (Laem Chabang) (THLCH)</t>
        </is>
      </c>
      <c r="J9" s="49" t="n">
        <v>0.07000000000000001</v>
      </c>
      <c r="K9" s="49" t="n">
        <v>0</v>
      </c>
      <c r="L9" s="37" t="inlineStr">
        <is>
          <t>Y</t>
        </is>
      </c>
      <c r="M9" s="38" t="inlineStr">
        <is>
          <t>한-ASEAN FTA / RCEP</t>
        </is>
      </c>
      <c r="N9" s="49" t="n">
        <v>0.152</v>
      </c>
      <c r="O9" s="50">
        <f>IF(L9="Y",K9,J9)+N9</f>
        <v/>
      </c>
      <c r="P9" s="38" t="inlineStr">
        <is>
          <t>람차방항 통관: 한-아세안 기본 0%이나 태국 도금/도장강판 반덤핑(AD) 평균율 유의</t>
        </is>
      </c>
    </row>
    <row r="10" ht="15" customHeight="1" s="32">
      <c r="A10" s="43" t="inlineStr">
        <is>
          <t>GI</t>
        </is>
      </c>
      <c r="B10" s="43" t="inlineStr">
        <is>
          <t>Steel</t>
        </is>
      </c>
      <c r="C10" s="45" t="inlineStr">
        <is>
          <t>GI (용융아연도금강판)</t>
        </is>
      </c>
      <c r="D10" s="43" t="inlineStr">
        <is>
          <t>HS 7210.49</t>
        </is>
      </c>
      <c r="E10" s="43" t="inlineStr">
        <is>
          <t>KR</t>
        </is>
      </c>
      <c r="F10" s="44" t="inlineStr">
        <is>
          <t>한국</t>
        </is>
      </c>
      <c r="G10" s="43" t="inlineStr">
        <is>
          <t>ID</t>
        </is>
      </c>
      <c r="H10" s="44" t="inlineStr">
        <is>
          <t>인니 (자카르타)</t>
        </is>
      </c>
      <c r="I10" s="44" t="inlineStr">
        <is>
          <t>탄중프리옥항 (Tanjung Priok) (IDJKT)</t>
        </is>
      </c>
      <c r="J10" s="51" t="n">
        <v>0.15</v>
      </c>
      <c r="K10" s="51" t="n">
        <v>0</v>
      </c>
      <c r="L10" s="43" t="inlineStr">
        <is>
          <t>Y</t>
        </is>
      </c>
      <c r="M10" s="44" t="inlineStr">
        <is>
          <t>한-인니 CEPA (IK-CEPA)</t>
        </is>
      </c>
      <c r="N10" s="51" t="n">
        <v>0.055</v>
      </c>
      <c r="O10" s="52">
        <f>IF(L10="Y",K10,J10)+N10</f>
        <v/>
      </c>
      <c r="P10" s="44" t="inlineStr">
        <is>
          <t>탄중프리옥항 통관: IK-CEPA 0% 양허 (일부 도금강판 세이프가드/SNI 반영)</t>
        </is>
      </c>
    </row>
    <row r="11" ht="15" customHeight="1" s="32">
      <c r="A11" s="37" t="inlineStr">
        <is>
          <t>GI</t>
        </is>
      </c>
      <c r="B11" s="37" t="inlineStr">
        <is>
          <t>Steel</t>
        </is>
      </c>
      <c r="C11" s="39" t="inlineStr">
        <is>
          <t>GI (용융아연도금강판)</t>
        </is>
      </c>
      <c r="D11" s="37" t="inlineStr">
        <is>
          <t>HS 7210.49</t>
        </is>
      </c>
      <c r="E11" s="37" t="inlineStr">
        <is>
          <t>KR</t>
        </is>
      </c>
      <c r="F11" s="38" t="inlineStr">
        <is>
          <t>한국</t>
        </is>
      </c>
      <c r="G11" s="37" t="inlineStr">
        <is>
          <t>SA</t>
        </is>
      </c>
      <c r="H11" s="38" t="inlineStr">
        <is>
          <t>사우디 (제다)</t>
        </is>
      </c>
      <c r="I11" s="38" t="inlineStr">
        <is>
          <t>제다 이슬람항 (Jeddah Islamic Port) (SAJED)</t>
        </is>
      </c>
      <c r="J11" s="49" t="n">
        <v>0.1</v>
      </c>
      <c r="K11" s="49" t="n">
        <v>0.05</v>
      </c>
      <c r="L11" s="37" t="inlineStr">
        <is>
          <t>Y</t>
        </is>
      </c>
      <c r="M11" s="38" t="inlineStr">
        <is>
          <t>한-GCC FTA</t>
        </is>
      </c>
      <c r="N11" s="49" t="n">
        <v>0</v>
      </c>
      <c r="O11" s="50">
        <f>IF(L11="Y",K11,J11)+N11</f>
        <v/>
      </c>
      <c r="P11" s="38" t="inlineStr">
        <is>
          <t>제다 이슬람항 통관: 사우디 철강 보호관세(10%) 대비 한-GCC FTA 혜택</t>
        </is>
      </c>
    </row>
    <row r="12" ht="15" customHeight="1" s="32">
      <c r="A12" s="43" t="inlineStr">
        <is>
          <t>GI</t>
        </is>
      </c>
      <c r="B12" s="43" t="inlineStr">
        <is>
          <t>Steel</t>
        </is>
      </c>
      <c r="C12" s="45" t="inlineStr">
        <is>
          <t>GI (용융아연도금강판)</t>
        </is>
      </c>
      <c r="D12" s="43" t="inlineStr">
        <is>
          <t>HS 7210.49</t>
        </is>
      </c>
      <c r="E12" s="43" t="inlineStr">
        <is>
          <t>KR</t>
        </is>
      </c>
      <c r="F12" s="44" t="inlineStr">
        <is>
          <t>한국</t>
        </is>
      </c>
      <c r="G12" s="43" t="inlineStr">
        <is>
          <t>BR</t>
        </is>
      </c>
      <c r="H12" s="44" t="inlineStr">
        <is>
          <t>브라질 (마나우스)</t>
        </is>
      </c>
      <c r="I12" s="44" t="inlineStr">
        <is>
          <t>마나우스항 (Porto de Manaus / Chibatao) (BRMAO)</t>
        </is>
      </c>
      <c r="J12" s="51" t="n">
        <v>0.144</v>
      </c>
      <c r="K12" s="51" t="n">
        <v>0.144</v>
      </c>
      <c r="L12" s="43" t="inlineStr">
        <is>
          <t>N</t>
        </is>
      </c>
      <c r="M12" s="45" t="inlineStr">
        <is>
          <t>-</t>
        </is>
      </c>
      <c r="N12" s="51" t="n">
        <v>0</v>
      </c>
      <c r="O12" s="52">
        <f>IF(L12="Y",K12,J12)+N12</f>
        <v/>
      </c>
      <c r="P12" s="44" t="inlineStr">
        <is>
          <t>마나우스항 통관: 중국·인도산 AD 미대상 (마나우스 자유무역지대 ZFM 88% 감면 시 1.73%)</t>
        </is>
      </c>
    </row>
    <row r="13" ht="15" customHeight="1" s="32">
      <c r="A13" s="37" t="inlineStr">
        <is>
          <t>GI</t>
        </is>
      </c>
      <c r="B13" s="37" t="inlineStr">
        <is>
          <t>Steel</t>
        </is>
      </c>
      <c r="C13" s="39" t="inlineStr">
        <is>
          <t>GI (용융아연도금강판)</t>
        </is>
      </c>
      <c r="D13" s="37" t="inlineStr">
        <is>
          <t>HS 7210.49</t>
        </is>
      </c>
      <c r="E13" s="37" t="inlineStr">
        <is>
          <t>KR</t>
        </is>
      </c>
      <c r="F13" s="38" t="inlineStr">
        <is>
          <t>한국</t>
        </is>
      </c>
      <c r="G13" s="37" t="inlineStr">
        <is>
          <t>EG</t>
        </is>
      </c>
      <c r="H13" s="38" t="inlineStr">
        <is>
          <t>이집트 (카이로)</t>
        </is>
      </c>
      <c r="I13" s="38" t="inlineStr">
        <is>
          <t>아인소크나항 (Ain Sokhna) / 알렉산드리아항 (EGSOK / EGALY)</t>
        </is>
      </c>
      <c r="J13" s="49" t="n">
        <v>0.12</v>
      </c>
      <c r="K13" s="49" t="n">
        <v>0.12</v>
      </c>
      <c r="L13" s="37" t="inlineStr">
        <is>
          <t>N</t>
        </is>
      </c>
      <c r="M13" s="39" t="inlineStr">
        <is>
          <t>-</t>
        </is>
      </c>
      <c r="N13" s="49" t="n">
        <v>0</v>
      </c>
      <c r="O13" s="50">
        <f>IF(L13="Y",K13,J13)+N13</f>
        <v/>
      </c>
      <c r="P13" s="38" t="inlineStr">
        <is>
          <t>아인소크나항(EGSOK)-&gt;카이로: 이집트 HS 7210 도금/도장강판 기본 MFN 12% 적용</t>
        </is>
      </c>
    </row>
    <row r="14" ht="15" customHeight="1" s="32">
      <c r="A14" s="43" t="inlineStr">
        <is>
          <t>GI</t>
        </is>
      </c>
      <c r="B14" s="43" t="inlineStr">
        <is>
          <t>Steel</t>
        </is>
      </c>
      <c r="C14" s="45" t="inlineStr">
        <is>
          <t>GI (용융아연도금강판)</t>
        </is>
      </c>
      <c r="D14" s="43" t="inlineStr">
        <is>
          <t>HS 7210.49</t>
        </is>
      </c>
      <c r="E14" s="43" t="inlineStr">
        <is>
          <t>KR</t>
        </is>
      </c>
      <c r="F14" s="44" t="inlineStr">
        <is>
          <t>한국</t>
        </is>
      </c>
      <c r="G14" s="43" t="inlineStr">
        <is>
          <t>US</t>
        </is>
      </c>
      <c r="H14" s="44" t="inlineStr">
        <is>
          <t>미국 (클락스빌)</t>
        </is>
      </c>
      <c r="I14" s="44" t="inlineStr">
        <is>
          <t>서배너항 (Savannah) / 찰스턴항 + 철도Ramp (USSAV / USCHS)</t>
        </is>
      </c>
      <c r="J14" s="51" t="n">
        <v>0</v>
      </c>
      <c r="K14" s="51" t="n">
        <v>0</v>
      </c>
      <c r="L14" s="43" t="inlineStr">
        <is>
          <t>N</t>
        </is>
      </c>
      <c r="M14" s="45" t="inlineStr">
        <is>
          <t>KORUS (232조 별도)</t>
        </is>
      </c>
      <c r="N14" s="51" t="n">
        <v>0.552</v>
      </c>
      <c r="O14" s="52">
        <f>IF(L14="Y",K14,J14)+N14</f>
        <v/>
      </c>
      <c r="P14" s="44" t="inlineStr">
        <is>
          <t>서배너항-&gt;클락스빌: 미국 232조 철강 관세 50% + 한국산 도금강판(CORE) AD/CVD(~5.2%)</t>
        </is>
      </c>
    </row>
    <row r="15" ht="15" customHeight="1" s="32">
      <c r="A15" s="37" t="inlineStr">
        <is>
          <t>GI</t>
        </is>
      </c>
      <c r="B15" s="37" t="inlineStr">
        <is>
          <t>Steel</t>
        </is>
      </c>
      <c r="C15" s="39" t="inlineStr">
        <is>
          <t>GI (용융아연도금강판)</t>
        </is>
      </c>
      <c r="D15" s="37" t="inlineStr">
        <is>
          <t>HS 7210.49</t>
        </is>
      </c>
      <c r="E15" s="37" t="inlineStr">
        <is>
          <t>KR</t>
        </is>
      </c>
      <c r="F15" s="38" t="inlineStr">
        <is>
          <t>한국</t>
        </is>
      </c>
      <c r="G15" s="37" t="inlineStr">
        <is>
          <t>NO</t>
        </is>
      </c>
      <c r="H15" s="38" t="inlineStr">
        <is>
          <t>노르웨이 (오슬로)</t>
        </is>
      </c>
      <c r="I15" s="38" t="inlineStr">
        <is>
          <t>오슬로항 (Port of Oslo) (NOOSL)</t>
        </is>
      </c>
      <c r="J15" s="49" t="n">
        <v>0</v>
      </c>
      <c r="K15" s="49" t="n">
        <v>0</v>
      </c>
      <c r="L15" s="37" t="inlineStr">
        <is>
          <t>N</t>
        </is>
      </c>
      <c r="M15" s="38" t="inlineStr">
        <is>
          <t>노르웨이 공산품 무관세 (한-EFTA 등)</t>
        </is>
      </c>
      <c r="N15" s="49" t="n">
        <v>0</v>
      </c>
      <c r="O15" s="50">
        <f>IF(L15="Y",K15,J15)+N15</f>
        <v/>
      </c>
      <c r="P15" s="38" t="inlineStr">
        <is>
          <t>오슬로항(NOOSL) 통관: 노르웨이 관세청(Tolltariffen) 철강·합성수지 전 품목 MFN 0% 무관세</t>
        </is>
      </c>
    </row>
    <row r="16" ht="15" customHeight="1" s="32">
      <c r="A16" s="53" t="inlineStr">
        <is>
          <t>GI</t>
        </is>
      </c>
      <c r="B16" s="53" t="inlineStr">
        <is>
          <t>Steel</t>
        </is>
      </c>
      <c r="C16" s="54" t="inlineStr">
        <is>
          <t>GI (용융아연도금강판)</t>
        </is>
      </c>
      <c r="D16" s="53" t="inlineStr">
        <is>
          <t>HS 7210.49</t>
        </is>
      </c>
      <c r="E16" s="53" t="inlineStr">
        <is>
          <t>CN</t>
        </is>
      </c>
      <c r="F16" s="55" t="inlineStr">
        <is>
          <t>중국</t>
        </is>
      </c>
      <c r="G16" s="53" t="inlineStr">
        <is>
          <t>KR</t>
        </is>
      </c>
      <c r="H16" s="55" t="inlineStr">
        <is>
          <t>한국 (부산)</t>
        </is>
      </c>
      <c r="I16" s="55" t="inlineStr">
        <is>
          <t>부산항 (Port of Busan) (KRPUS)</t>
        </is>
      </c>
      <c r="J16" s="56" t="n">
        <v>0</v>
      </c>
      <c r="K16" s="56" t="n">
        <v>0</v>
      </c>
      <c r="L16" s="53" t="inlineStr">
        <is>
          <t>N</t>
        </is>
      </c>
      <c r="M16" s="54" t="inlineStr">
        <is>
          <t>WTO 철강 무관세</t>
        </is>
      </c>
      <c r="N16" s="57" t="n">
        <v>0.2575</v>
      </c>
      <c r="O16" s="57">
        <f>IF(L16="Y",K16,J16)+N16</f>
        <v/>
      </c>
      <c r="P16" s="58" t="inlineStr">
        <is>
          <t>부산항 통관: 기본 0%이나 재정경제부고시 제2026-80호(2026.6.12 시행, 무역위 제472차 예비판정) 중국산 도금(GI)·컬러강판(PCM) 잠정 반덤핑관세 22.34~33.67% (바오터우 22.34%, 수강징탕 26.28%, 윈스톤 33.67%, 기타공급자 25.75%) 부과</t>
        </is>
      </c>
    </row>
    <row r="17" ht="15" customHeight="1" s="32">
      <c r="A17" s="37" t="inlineStr">
        <is>
          <t>GI</t>
        </is>
      </c>
      <c r="B17" s="37" t="inlineStr">
        <is>
          <t>Steel</t>
        </is>
      </c>
      <c r="C17" s="39" t="inlineStr">
        <is>
          <t>GI (용융아연도금강판)</t>
        </is>
      </c>
      <c r="D17" s="37" t="inlineStr">
        <is>
          <t>HS 7210.49</t>
        </is>
      </c>
      <c r="E17" s="37" t="inlineStr">
        <is>
          <t>CN</t>
        </is>
      </c>
      <c r="F17" s="38" t="inlineStr">
        <is>
          <t>중국</t>
        </is>
      </c>
      <c r="G17" s="37" t="inlineStr">
        <is>
          <t>CN</t>
        </is>
      </c>
      <c r="H17" s="38" t="inlineStr">
        <is>
          <t>중국 (천진)</t>
        </is>
      </c>
      <c r="I17" s="38" t="inlineStr">
        <is>
          <t>천진 신강항 (Tianjin Xingang) (CNTSN)</t>
        </is>
      </c>
      <c r="J17" s="49" t="n">
        <v>0</v>
      </c>
      <c r="K17" s="49" t="n">
        <v>0</v>
      </c>
      <c r="L17" s="37" t="inlineStr">
        <is>
          <t>N</t>
        </is>
      </c>
      <c r="M17" s="38" t="inlineStr">
        <is>
          <t>내수 조달 (관세 없음)</t>
        </is>
      </c>
      <c r="N17" s="49" t="n">
        <v>0</v>
      </c>
      <c r="O17" s="50">
        <f>IF(L17="Y",K17,J17)+N17</f>
        <v/>
      </c>
      <c r="P17" s="38" t="inlineStr">
        <is>
          <t>동일 국가 내 조달 (천진 (Tianjin) 직송, 수입관세 면제)</t>
        </is>
      </c>
    </row>
    <row r="18" ht="15" customHeight="1" s="32">
      <c r="A18" s="43" t="inlineStr">
        <is>
          <t>GI</t>
        </is>
      </c>
      <c r="B18" s="43" t="inlineStr">
        <is>
          <t>Steel</t>
        </is>
      </c>
      <c r="C18" s="45" t="inlineStr">
        <is>
          <t>GI (용융아연도금강판)</t>
        </is>
      </c>
      <c r="D18" s="43" t="inlineStr">
        <is>
          <t>HS 7210.49</t>
        </is>
      </c>
      <c r="E18" s="43" t="inlineStr">
        <is>
          <t>CN</t>
        </is>
      </c>
      <c r="F18" s="44" t="inlineStr">
        <is>
          <t>중국</t>
        </is>
      </c>
      <c r="G18" s="43" t="inlineStr">
        <is>
          <t>IN_NOI</t>
        </is>
      </c>
      <c r="H18" s="44" t="inlineStr">
        <is>
          <t>인도 (노이다)</t>
        </is>
      </c>
      <c r="I18" s="44" t="inlineStr">
        <is>
          <t>문드라항 (Mundra) + ICD 다드리 (INMUN-&gt;INDAD)</t>
        </is>
      </c>
      <c r="J18" s="51" t="n">
        <v>0.11</v>
      </c>
      <c r="K18" s="51" t="n">
        <v>0.11</v>
      </c>
      <c r="L18" s="43" t="inlineStr">
        <is>
          <t>N</t>
        </is>
      </c>
      <c r="M18" s="45" t="inlineStr">
        <is>
          <t>-</t>
        </is>
      </c>
      <c r="N18" s="51" t="n">
        <v>0.185</v>
      </c>
      <c r="O18" s="52">
        <f>IF(L18="Y",K18,J18)+N18</f>
        <v/>
      </c>
      <c r="P18" s="44" t="inlineStr">
        <is>
          <t>문드라항-&gt;ICD 다드리(노이다) 통관: 중국산 도금/컬러강판 인도 반덤핑(AD)·세이프가드 부과</t>
        </is>
      </c>
    </row>
    <row r="19" ht="15" customHeight="1" s="32">
      <c r="A19" s="37" t="inlineStr">
        <is>
          <t>GI</t>
        </is>
      </c>
      <c r="B19" s="37" t="inlineStr">
        <is>
          <t>Steel</t>
        </is>
      </c>
      <c r="C19" s="39" t="inlineStr">
        <is>
          <t>GI (용융아연도금강판)</t>
        </is>
      </c>
      <c r="D19" s="37" t="inlineStr">
        <is>
          <t>HS 7210.49</t>
        </is>
      </c>
      <c r="E19" s="37" t="inlineStr">
        <is>
          <t>CN</t>
        </is>
      </c>
      <c r="F19" s="38" t="inlineStr">
        <is>
          <t>중국</t>
        </is>
      </c>
      <c r="G19" s="37" t="inlineStr">
        <is>
          <t>IN_PUN</t>
        </is>
      </c>
      <c r="H19" s="38" t="inlineStr">
        <is>
          <t>인도 (푸네)</t>
        </is>
      </c>
      <c r="I19" s="38" t="inlineStr">
        <is>
          <t>나바셰바항 (JNPT Mumbai) (INNSA)</t>
        </is>
      </c>
      <c r="J19" s="49" t="n">
        <v>0.11</v>
      </c>
      <c r="K19" s="49" t="n">
        <v>0.11</v>
      </c>
      <c r="L19" s="37" t="inlineStr">
        <is>
          <t>N</t>
        </is>
      </c>
      <c r="M19" s="39" t="inlineStr">
        <is>
          <t>-</t>
        </is>
      </c>
      <c r="N19" s="49" t="n">
        <v>0.185</v>
      </c>
      <c r="O19" s="50">
        <f>IF(L19="Y",K19,J19)+N19</f>
        <v/>
      </c>
      <c r="P19" s="38" t="inlineStr">
        <is>
          <t>나바셰바항(푸네) 통관: 중국산 도금/컬러강판 인도 반덤핑(AD)·세이프가드 부과</t>
        </is>
      </c>
    </row>
    <row r="20" ht="15" customHeight="1" s="32">
      <c r="A20" s="43" t="inlineStr">
        <is>
          <t>GI</t>
        </is>
      </c>
      <c r="B20" s="43" t="inlineStr">
        <is>
          <t>Steel</t>
        </is>
      </c>
      <c r="C20" s="45" t="inlineStr">
        <is>
          <t>GI (용융아연도금강판)</t>
        </is>
      </c>
      <c r="D20" s="43" t="inlineStr">
        <is>
          <t>HS 7210.49</t>
        </is>
      </c>
      <c r="E20" s="43" t="inlineStr">
        <is>
          <t>CN</t>
        </is>
      </c>
      <c r="F20" s="44" t="inlineStr">
        <is>
          <t>중국</t>
        </is>
      </c>
      <c r="G20" s="43" t="inlineStr">
        <is>
          <t>TH</t>
        </is>
      </c>
      <c r="H20" s="44" t="inlineStr">
        <is>
          <t>태국 (람차방)</t>
        </is>
      </c>
      <c r="I20" s="44" t="inlineStr">
        <is>
          <t>람차방항 (Laem Chabang) (THLCH)</t>
        </is>
      </c>
      <c r="J20" s="51" t="n">
        <v>0.07000000000000001</v>
      </c>
      <c r="K20" s="51" t="n">
        <v>0</v>
      </c>
      <c r="L20" s="43" t="inlineStr">
        <is>
          <t>Y</t>
        </is>
      </c>
      <c r="M20" s="44" t="inlineStr">
        <is>
          <t>중-ASEAN FTA</t>
        </is>
      </c>
      <c r="N20" s="51" t="n">
        <v>0.355</v>
      </c>
      <c r="O20" s="52">
        <f>IF(L20="Y",K20,J20)+N20</f>
        <v/>
      </c>
      <c r="P20" s="44" t="inlineStr">
        <is>
          <t>람차방항(THLCH) 통관: 태국 DFT 중국산 GI/PCM 반덤핑 관세(26~42%) 부과</t>
        </is>
      </c>
    </row>
    <row r="21" ht="15" customHeight="1" s="32">
      <c r="A21" s="37" t="inlineStr">
        <is>
          <t>GI</t>
        </is>
      </c>
      <c r="B21" s="37" t="inlineStr">
        <is>
          <t>Steel</t>
        </is>
      </c>
      <c r="C21" s="39" t="inlineStr">
        <is>
          <t>GI (용융아연도금강판)</t>
        </is>
      </c>
      <c r="D21" s="37" t="inlineStr">
        <is>
          <t>HS 7210.49</t>
        </is>
      </c>
      <c r="E21" s="37" t="inlineStr">
        <is>
          <t>CN</t>
        </is>
      </c>
      <c r="F21" s="38" t="inlineStr">
        <is>
          <t>중국</t>
        </is>
      </c>
      <c r="G21" s="37" t="inlineStr">
        <is>
          <t>ID</t>
        </is>
      </c>
      <c r="H21" s="38" t="inlineStr">
        <is>
          <t>인니 (자카르타)</t>
        </is>
      </c>
      <c r="I21" s="38" t="inlineStr">
        <is>
          <t>탄중프리옥항 (Tanjung Priok) (IDJKT)</t>
        </is>
      </c>
      <c r="J21" s="49" t="n">
        <v>0.15</v>
      </c>
      <c r="K21" s="49" t="n">
        <v>0.05</v>
      </c>
      <c r="L21" s="37" t="inlineStr">
        <is>
          <t>Y</t>
        </is>
      </c>
      <c r="M21" s="38" t="inlineStr">
        <is>
          <t>중-ASEAN FTA</t>
        </is>
      </c>
      <c r="N21" s="49" t="n">
        <v>0.18</v>
      </c>
      <c r="O21" s="50">
        <f>IF(L21="Y",K21,J21)+N21</f>
        <v/>
      </c>
      <c r="P21" s="38" t="inlineStr">
        <is>
          <t>탄중프리옥항 통관: 인니 KADI 중국산 도금·컬러강판 반덤핑(BMAD) 부과</t>
        </is>
      </c>
    </row>
    <row r="22" ht="15" customHeight="1" s="32">
      <c r="A22" s="43" t="inlineStr">
        <is>
          <t>GI</t>
        </is>
      </c>
      <c r="B22" s="43" t="inlineStr">
        <is>
          <t>Steel</t>
        </is>
      </c>
      <c r="C22" s="45" t="inlineStr">
        <is>
          <t>GI (용융아연도금강판)</t>
        </is>
      </c>
      <c r="D22" s="43" t="inlineStr">
        <is>
          <t>HS 7210.49</t>
        </is>
      </c>
      <c r="E22" s="43" t="inlineStr">
        <is>
          <t>CN</t>
        </is>
      </c>
      <c r="F22" s="44" t="inlineStr">
        <is>
          <t>중국</t>
        </is>
      </c>
      <c r="G22" s="43" t="inlineStr">
        <is>
          <t>SA</t>
        </is>
      </c>
      <c r="H22" s="44" t="inlineStr">
        <is>
          <t>사우디 (제다)</t>
        </is>
      </c>
      <c r="I22" s="44" t="inlineStr">
        <is>
          <t>제다 이슬람항 (Jeddah Islamic Port) (SAJED)</t>
        </is>
      </c>
      <c r="J22" s="51" t="n">
        <v>0.1</v>
      </c>
      <c r="K22" s="51" t="n">
        <v>0.1</v>
      </c>
      <c r="L22" s="43" t="inlineStr">
        <is>
          <t>N</t>
        </is>
      </c>
      <c r="M22" s="45" t="inlineStr">
        <is>
          <t>-</t>
        </is>
      </c>
      <c r="N22" s="51" t="n">
        <v>0</v>
      </c>
      <c r="O22" s="52">
        <f>IF(L22="Y",K22,J22)+N22</f>
        <v/>
      </c>
      <c r="P22" s="44" t="inlineStr">
        <is>
          <t>제다 이슬람항 통관: 사우디 ZATCA 철강재 관세 10%</t>
        </is>
      </c>
    </row>
    <row r="23" ht="15" customHeight="1" s="32">
      <c r="A23" s="37" t="inlineStr">
        <is>
          <t>GI</t>
        </is>
      </c>
      <c r="B23" s="37" t="inlineStr">
        <is>
          <t>Steel</t>
        </is>
      </c>
      <c r="C23" s="39" t="inlineStr">
        <is>
          <t>GI (용융아연도금강판)</t>
        </is>
      </c>
      <c r="D23" s="37" t="inlineStr">
        <is>
          <t>HS 7210.49</t>
        </is>
      </c>
      <c r="E23" s="37" t="inlineStr">
        <is>
          <t>CN</t>
        </is>
      </c>
      <c r="F23" s="38" t="inlineStr">
        <is>
          <t>중국</t>
        </is>
      </c>
      <c r="G23" s="37" t="inlineStr">
        <is>
          <t>BR</t>
        </is>
      </c>
      <c r="H23" s="38" t="inlineStr">
        <is>
          <t>브라질 (마나우스)</t>
        </is>
      </c>
      <c r="I23" s="38" t="inlineStr">
        <is>
          <t>마나우스항 (Porto de Manaus / Chibatao) (BRMAO)</t>
        </is>
      </c>
      <c r="J23" s="49" t="n">
        <v>0.144</v>
      </c>
      <c r="K23" s="49" t="n">
        <v>0.144</v>
      </c>
      <c r="L23" s="37" t="inlineStr">
        <is>
          <t>N</t>
        </is>
      </c>
      <c r="M23" s="39" t="inlineStr">
        <is>
          <t>-</t>
        </is>
      </c>
      <c r="N23" s="49" t="n">
        <v>0.48</v>
      </c>
      <c r="O23" s="50">
        <f>IF(L23="Y",K23,J23)+N23</f>
        <v/>
      </c>
      <c r="P23" s="38" t="inlineStr">
        <is>
          <t>마나우스항 통관: 브라질 Secex(2026.2) 중국산 GI($709/t)·PCM($289~545/t) 확정 AD 부과</t>
        </is>
      </c>
    </row>
    <row r="24" ht="15" customHeight="1" s="32">
      <c r="A24" s="43" t="inlineStr">
        <is>
          <t>GI</t>
        </is>
      </c>
      <c r="B24" s="43" t="inlineStr">
        <is>
          <t>Steel</t>
        </is>
      </c>
      <c r="C24" s="45" t="inlineStr">
        <is>
          <t>GI (용융아연도금강판)</t>
        </is>
      </c>
      <c r="D24" s="43" t="inlineStr">
        <is>
          <t>HS 7210.49</t>
        </is>
      </c>
      <c r="E24" s="43" t="inlineStr">
        <is>
          <t>CN</t>
        </is>
      </c>
      <c r="F24" s="44" t="inlineStr">
        <is>
          <t>중국</t>
        </is>
      </c>
      <c r="G24" s="43" t="inlineStr">
        <is>
          <t>EG</t>
        </is>
      </c>
      <c r="H24" s="44" t="inlineStr">
        <is>
          <t>이집트 (카이로)</t>
        </is>
      </c>
      <c r="I24" s="44" t="inlineStr">
        <is>
          <t>아인소크나항 (Ain Sokhna) / 알렉산드리아항 (EGSOK / EGALY)</t>
        </is>
      </c>
      <c r="J24" s="51" t="n">
        <v>0.12</v>
      </c>
      <c r="K24" s="51" t="n">
        <v>0.12</v>
      </c>
      <c r="L24" s="43" t="inlineStr">
        <is>
          <t>N</t>
        </is>
      </c>
      <c r="M24" s="45" t="inlineStr">
        <is>
          <t>-</t>
        </is>
      </c>
      <c r="N24" s="51" t="n">
        <v>0.15</v>
      </c>
      <c r="O24" s="52">
        <f>IF(L24="Y",K24,J24)+N24</f>
        <v/>
      </c>
      <c r="P24" s="44" t="inlineStr">
        <is>
          <t>아인소크나항(EGSOK)-&gt;카이로: 이집트 기본 12% + 중국산 냉연·도금·컬러강판 AD 조사 리스크</t>
        </is>
      </c>
    </row>
    <row r="25" ht="15" customHeight="1" s="32">
      <c r="A25" s="37" t="inlineStr">
        <is>
          <t>GI</t>
        </is>
      </c>
      <c r="B25" s="37" t="inlineStr">
        <is>
          <t>Steel</t>
        </is>
      </c>
      <c r="C25" s="39" t="inlineStr">
        <is>
          <t>GI (용융아연도금강판)</t>
        </is>
      </c>
      <c r="D25" s="37" t="inlineStr">
        <is>
          <t>HS 7210.49</t>
        </is>
      </c>
      <c r="E25" s="37" t="inlineStr">
        <is>
          <t>CN</t>
        </is>
      </c>
      <c r="F25" s="38" t="inlineStr">
        <is>
          <t>중국</t>
        </is>
      </c>
      <c r="G25" s="37" t="inlineStr">
        <is>
          <t>US</t>
        </is>
      </c>
      <c r="H25" s="38" t="inlineStr">
        <is>
          <t>미국 (클락스빌)</t>
        </is>
      </c>
      <c r="I25" s="38" t="inlineStr">
        <is>
          <t>서배너항 (Savannah) / 찰스턴항 + 철도Ramp (USSAV / USCHS)</t>
        </is>
      </c>
      <c r="J25" s="49" t="n">
        <v>0</v>
      </c>
      <c r="K25" s="49" t="n">
        <v>0</v>
      </c>
      <c r="L25" s="37" t="inlineStr">
        <is>
          <t>N</t>
        </is>
      </c>
      <c r="M25" s="39" t="inlineStr">
        <is>
          <t>-</t>
        </is>
      </c>
      <c r="N25" s="49" t="n">
        <v>1.25</v>
      </c>
      <c r="O25" s="50">
        <f>IF(L25="Y",K25,J25)+N25</f>
        <v/>
      </c>
      <c r="P25" s="38" t="inlineStr">
        <is>
          <t>서배너항-&gt;클락스빌: 미국 232조(50%) + 301조(25%) + 중국산 CORE 초고율 AD/CVD 부과</t>
        </is>
      </c>
    </row>
    <row r="26" ht="15" customHeight="1" s="32">
      <c r="A26" s="43" t="inlineStr">
        <is>
          <t>GI</t>
        </is>
      </c>
      <c r="B26" s="43" t="inlineStr">
        <is>
          <t>Steel</t>
        </is>
      </c>
      <c r="C26" s="45" t="inlineStr">
        <is>
          <t>GI (용융아연도금강판)</t>
        </is>
      </c>
      <c r="D26" s="43" t="inlineStr">
        <is>
          <t>HS 7210.49</t>
        </is>
      </c>
      <c r="E26" s="43" t="inlineStr">
        <is>
          <t>CN</t>
        </is>
      </c>
      <c r="F26" s="44" t="inlineStr">
        <is>
          <t>중국</t>
        </is>
      </c>
      <c r="G26" s="43" t="inlineStr">
        <is>
          <t>NO</t>
        </is>
      </c>
      <c r="H26" s="44" t="inlineStr">
        <is>
          <t>노르웨이 (오슬로)</t>
        </is>
      </c>
      <c r="I26" s="44" t="inlineStr">
        <is>
          <t>오슬로항 (Port of Oslo) (NOOSL)</t>
        </is>
      </c>
      <c r="J26" s="51" t="n">
        <v>0</v>
      </c>
      <c r="K26" s="51" t="n">
        <v>0</v>
      </c>
      <c r="L26" s="43" t="inlineStr">
        <is>
          <t>N</t>
        </is>
      </c>
      <c r="M26" s="44" t="inlineStr">
        <is>
          <t>노르웨이 공산품 무관세 (한-EFTA 등)</t>
        </is>
      </c>
      <c r="N26" s="51" t="n">
        <v>0</v>
      </c>
      <c r="O26" s="52">
        <f>IF(L26="Y",K26,J26)+N26</f>
        <v/>
      </c>
      <c r="P26" s="44" t="inlineStr">
        <is>
          <t>오슬로항(NOOSL) 통관: 노르웨이 관세청(Tolltariffen) 철강·합성수지 전 품목 MFN 0% 무관세</t>
        </is>
      </c>
    </row>
    <row r="27" ht="15" customHeight="1" s="32">
      <c r="A27" s="37" t="inlineStr">
        <is>
          <t>GI</t>
        </is>
      </c>
      <c r="B27" s="37" t="inlineStr">
        <is>
          <t>Steel</t>
        </is>
      </c>
      <c r="C27" s="39" t="inlineStr">
        <is>
          <t>GI (용융아연도금강판)</t>
        </is>
      </c>
      <c r="D27" s="37" t="inlineStr">
        <is>
          <t>HS 7210.49</t>
        </is>
      </c>
      <c r="E27" s="37" t="inlineStr">
        <is>
          <t>TH</t>
        </is>
      </c>
      <c r="F27" s="38" t="inlineStr">
        <is>
          <t>태국</t>
        </is>
      </c>
      <c r="G27" s="37" t="inlineStr">
        <is>
          <t>KR</t>
        </is>
      </c>
      <c r="H27" s="38" t="inlineStr">
        <is>
          <t>한국 (부산)</t>
        </is>
      </c>
      <c r="I27" s="38" t="inlineStr">
        <is>
          <t>부산항 (Port of Busan) (KRPUS)</t>
        </is>
      </c>
      <c r="J27" s="49" t="n">
        <v>0</v>
      </c>
      <c r="K27" s="49" t="n">
        <v>0</v>
      </c>
      <c r="L27" s="37" t="inlineStr">
        <is>
          <t>N</t>
        </is>
      </c>
      <c r="M27" s="39" t="inlineStr">
        <is>
          <t>WTO 철강 무관세</t>
        </is>
      </c>
      <c r="N27" s="49" t="n">
        <v>0</v>
      </c>
      <c r="O27" s="50">
        <f>IF(L27="Y",K27,J27)+N27</f>
        <v/>
      </c>
      <c r="P27" s="38" t="inlineStr">
        <is>
          <t>부산항 통관: HS 7210 한국 MFN 기본관세 0% (WTO 철강 무관세 협정, 반덤핑 미대상)</t>
        </is>
      </c>
    </row>
    <row r="28" ht="15" customHeight="1" s="32">
      <c r="A28" s="43" t="inlineStr">
        <is>
          <t>GI</t>
        </is>
      </c>
      <c r="B28" s="43" t="inlineStr">
        <is>
          <t>Steel</t>
        </is>
      </c>
      <c r="C28" s="45" t="inlineStr">
        <is>
          <t>GI (용융아연도금강판)</t>
        </is>
      </c>
      <c r="D28" s="43" t="inlineStr">
        <is>
          <t>HS 7210.49</t>
        </is>
      </c>
      <c r="E28" s="43" t="inlineStr">
        <is>
          <t>TH</t>
        </is>
      </c>
      <c r="F28" s="44" t="inlineStr">
        <is>
          <t>태국</t>
        </is>
      </c>
      <c r="G28" s="43" t="inlineStr">
        <is>
          <t>CN</t>
        </is>
      </c>
      <c r="H28" s="44" t="inlineStr">
        <is>
          <t>중국 (천진)</t>
        </is>
      </c>
      <c r="I28" s="44" t="inlineStr">
        <is>
          <t>천진 신강항 (Tianjin Xingang) (CNTSN)</t>
        </is>
      </c>
      <c r="J28" s="51" t="n">
        <v>0.05</v>
      </c>
      <c r="K28" s="51" t="n">
        <v>0</v>
      </c>
      <c r="L28" s="43" t="inlineStr">
        <is>
          <t>Y</t>
        </is>
      </c>
      <c r="M28" s="44" t="inlineStr">
        <is>
          <t>중-ASEAN FTA / RCEP</t>
        </is>
      </c>
      <c r="N28" s="51" t="n">
        <v>0</v>
      </c>
      <c r="O28" s="52">
        <f>IF(L28="Y",K28,J28)+N28</f>
        <v/>
      </c>
      <c r="P28" s="44" t="inlineStr">
        <is>
          <t>천진 신강항(CNTSN) 통관: RCEP 및 중-아세안 양허세율 적용</t>
        </is>
      </c>
    </row>
    <row r="29" ht="15" customHeight="1" s="32">
      <c r="A29" s="37" t="inlineStr">
        <is>
          <t>GI</t>
        </is>
      </c>
      <c r="B29" s="37" t="inlineStr">
        <is>
          <t>Steel</t>
        </is>
      </c>
      <c r="C29" s="39" t="inlineStr">
        <is>
          <t>GI (용융아연도금강판)</t>
        </is>
      </c>
      <c r="D29" s="37" t="inlineStr">
        <is>
          <t>HS 7210.49</t>
        </is>
      </c>
      <c r="E29" s="37" t="inlineStr">
        <is>
          <t>TH</t>
        </is>
      </c>
      <c r="F29" s="38" t="inlineStr">
        <is>
          <t>태국</t>
        </is>
      </c>
      <c r="G29" s="37" t="inlineStr">
        <is>
          <t>IN_NOI</t>
        </is>
      </c>
      <c r="H29" s="38" t="inlineStr">
        <is>
          <t>인도 (노이다)</t>
        </is>
      </c>
      <c r="I29" s="38" t="inlineStr">
        <is>
          <t>문드라항 (Mundra) + ICD 다드리 (INMUN-&gt;INDAD)</t>
        </is>
      </c>
      <c r="J29" s="49" t="n">
        <v>0.11</v>
      </c>
      <c r="K29" s="49" t="n">
        <v>0.05</v>
      </c>
      <c r="L29" s="37" t="inlineStr">
        <is>
          <t>Y</t>
        </is>
      </c>
      <c r="M29" s="38" t="inlineStr">
        <is>
          <t>인도-ASEAN FTA</t>
        </is>
      </c>
      <c r="N29" s="49" t="n">
        <v>0</v>
      </c>
      <c r="O29" s="50">
        <f>IF(L29="Y",K29,J29)+N29</f>
        <v/>
      </c>
      <c r="P29" s="38" t="inlineStr">
        <is>
          <t>문드라항-&gt;ICD 다드리(노이다) 통관: 인도-아세안 FTA 양허세율 적용</t>
        </is>
      </c>
    </row>
    <row r="30" ht="15" customHeight="1" s="32">
      <c r="A30" s="43" t="inlineStr">
        <is>
          <t>GI</t>
        </is>
      </c>
      <c r="B30" s="43" t="inlineStr">
        <is>
          <t>Steel</t>
        </is>
      </c>
      <c r="C30" s="45" t="inlineStr">
        <is>
          <t>GI (용융아연도금강판)</t>
        </is>
      </c>
      <c r="D30" s="43" t="inlineStr">
        <is>
          <t>HS 7210.49</t>
        </is>
      </c>
      <c r="E30" s="43" t="inlineStr">
        <is>
          <t>TH</t>
        </is>
      </c>
      <c r="F30" s="44" t="inlineStr">
        <is>
          <t>태국</t>
        </is>
      </c>
      <c r="G30" s="43" t="inlineStr">
        <is>
          <t>IN_PUN</t>
        </is>
      </c>
      <c r="H30" s="44" t="inlineStr">
        <is>
          <t>인도 (푸네)</t>
        </is>
      </c>
      <c r="I30" s="44" t="inlineStr">
        <is>
          <t>나바셰바항 (JNPT Mumbai) (INNSA)</t>
        </is>
      </c>
      <c r="J30" s="51" t="n">
        <v>0.11</v>
      </c>
      <c r="K30" s="51" t="n">
        <v>0.05</v>
      </c>
      <c r="L30" s="43" t="inlineStr">
        <is>
          <t>Y</t>
        </is>
      </c>
      <c r="M30" s="44" t="inlineStr">
        <is>
          <t>인도-ASEAN FTA</t>
        </is>
      </c>
      <c r="N30" s="51" t="n">
        <v>0</v>
      </c>
      <c r="O30" s="52">
        <f>IF(L30="Y",K30,J30)+N30</f>
        <v/>
      </c>
      <c r="P30" s="44" t="inlineStr">
        <is>
          <t>나바셰바항(푸네) 통관: 인도-아세안 FTA 양허세율 적용</t>
        </is>
      </c>
    </row>
    <row r="31" ht="15" customHeight="1" s="32">
      <c r="A31" s="37" t="inlineStr">
        <is>
          <t>GI</t>
        </is>
      </c>
      <c r="B31" s="37" t="inlineStr">
        <is>
          <t>Steel</t>
        </is>
      </c>
      <c r="C31" s="39" t="inlineStr">
        <is>
          <t>GI (용융아연도금강판)</t>
        </is>
      </c>
      <c r="D31" s="37" t="inlineStr">
        <is>
          <t>HS 7210.49</t>
        </is>
      </c>
      <c r="E31" s="37" t="inlineStr">
        <is>
          <t>TH</t>
        </is>
      </c>
      <c r="F31" s="38" t="inlineStr">
        <is>
          <t>태국</t>
        </is>
      </c>
      <c r="G31" s="37" t="inlineStr">
        <is>
          <t>TH</t>
        </is>
      </c>
      <c r="H31" s="38" t="inlineStr">
        <is>
          <t>태국 (람차방)</t>
        </is>
      </c>
      <c r="I31" s="38" t="inlineStr">
        <is>
          <t>람차방항 (Laem Chabang) (THLCH)</t>
        </is>
      </c>
      <c r="J31" s="49" t="n">
        <v>0</v>
      </c>
      <c r="K31" s="49" t="n">
        <v>0</v>
      </c>
      <c r="L31" s="37" t="inlineStr">
        <is>
          <t>N</t>
        </is>
      </c>
      <c r="M31" s="38" t="inlineStr">
        <is>
          <t>내수 조달 (관세 없음)</t>
        </is>
      </c>
      <c r="N31" s="49" t="n">
        <v>0</v>
      </c>
      <c r="O31" s="50">
        <f>IF(L31="Y",K31,J31)+N31</f>
        <v/>
      </c>
      <c r="P31" s="38" t="inlineStr">
        <is>
          <t>동일 국가 내 조달 (람차방 / 라용 (Laem Chabang) 직송, 수입관세 면제)</t>
        </is>
      </c>
    </row>
    <row r="32" ht="15" customHeight="1" s="32">
      <c r="A32" s="43" t="inlineStr">
        <is>
          <t>GI</t>
        </is>
      </c>
      <c r="B32" s="43" t="inlineStr">
        <is>
          <t>Steel</t>
        </is>
      </c>
      <c r="C32" s="45" t="inlineStr">
        <is>
          <t>GI (용융아연도금강판)</t>
        </is>
      </c>
      <c r="D32" s="43" t="inlineStr">
        <is>
          <t>HS 7210.49</t>
        </is>
      </c>
      <c r="E32" s="43" t="inlineStr">
        <is>
          <t>TH</t>
        </is>
      </c>
      <c r="F32" s="44" t="inlineStr">
        <is>
          <t>태국</t>
        </is>
      </c>
      <c r="G32" s="43" t="inlineStr">
        <is>
          <t>ID</t>
        </is>
      </c>
      <c r="H32" s="44" t="inlineStr">
        <is>
          <t>인니 (자카르타)</t>
        </is>
      </c>
      <c r="I32" s="44" t="inlineStr">
        <is>
          <t>탄중프리옥항 (Tanjung Priok) (IDJKT)</t>
        </is>
      </c>
      <c r="J32" s="51" t="n">
        <v>0.15</v>
      </c>
      <c r="K32" s="51" t="n">
        <v>0</v>
      </c>
      <c r="L32" s="43" t="inlineStr">
        <is>
          <t>Y</t>
        </is>
      </c>
      <c r="M32" s="45" t="inlineStr">
        <is>
          <t>ATIGA (아세안무역협정)</t>
        </is>
      </c>
      <c r="N32" s="51" t="n">
        <v>0</v>
      </c>
      <c r="O32" s="52">
        <f>IF(L32="Y",K32,J32)+N32</f>
        <v/>
      </c>
      <c r="P32" s="44" t="inlineStr">
        <is>
          <t>탄중프리옥항 통관: ATIGA 역내 0% 무관세 및 AD 미대상</t>
        </is>
      </c>
    </row>
    <row r="33" ht="15" customHeight="1" s="32">
      <c r="A33" s="37" t="inlineStr">
        <is>
          <t>GI</t>
        </is>
      </c>
      <c r="B33" s="37" t="inlineStr">
        <is>
          <t>Steel</t>
        </is>
      </c>
      <c r="C33" s="39" t="inlineStr">
        <is>
          <t>GI (용융아연도금강판)</t>
        </is>
      </c>
      <c r="D33" s="37" t="inlineStr">
        <is>
          <t>HS 7210.49</t>
        </is>
      </c>
      <c r="E33" s="37" t="inlineStr">
        <is>
          <t>TH</t>
        </is>
      </c>
      <c r="F33" s="38" t="inlineStr">
        <is>
          <t>태국</t>
        </is>
      </c>
      <c r="G33" s="37" t="inlineStr">
        <is>
          <t>SA</t>
        </is>
      </c>
      <c r="H33" s="38" t="inlineStr">
        <is>
          <t>사우디 (제다)</t>
        </is>
      </c>
      <c r="I33" s="38" t="inlineStr">
        <is>
          <t>제다 이슬람항 (Jeddah Islamic Port) (SAJED)</t>
        </is>
      </c>
      <c r="J33" s="49" t="n">
        <v>0.1</v>
      </c>
      <c r="K33" s="49" t="n">
        <v>0.1</v>
      </c>
      <c r="L33" s="37" t="inlineStr">
        <is>
          <t>N</t>
        </is>
      </c>
      <c r="M33" s="39" t="inlineStr">
        <is>
          <t>-</t>
        </is>
      </c>
      <c r="N33" s="49" t="n">
        <v>0</v>
      </c>
      <c r="O33" s="50">
        <f>IF(L33="Y",K33,J33)+N33</f>
        <v/>
      </c>
      <c r="P33" s="38" t="inlineStr">
        <is>
          <t>제다 이슬람항 통관: 사우디 ZATCA 철강재 관세 10%</t>
        </is>
      </c>
    </row>
    <row r="34" ht="15" customHeight="1" s="32">
      <c r="A34" s="43" t="inlineStr">
        <is>
          <t>GI</t>
        </is>
      </c>
      <c r="B34" s="43" t="inlineStr">
        <is>
          <t>Steel</t>
        </is>
      </c>
      <c r="C34" s="45" t="inlineStr">
        <is>
          <t>GI (용융아연도금강판)</t>
        </is>
      </c>
      <c r="D34" s="43" t="inlineStr">
        <is>
          <t>HS 7210.49</t>
        </is>
      </c>
      <c r="E34" s="43" t="inlineStr">
        <is>
          <t>TH</t>
        </is>
      </c>
      <c r="F34" s="44" t="inlineStr">
        <is>
          <t>태국</t>
        </is>
      </c>
      <c r="G34" s="43" t="inlineStr">
        <is>
          <t>BR</t>
        </is>
      </c>
      <c r="H34" s="44" t="inlineStr">
        <is>
          <t>브라질 (마나우스)</t>
        </is>
      </c>
      <c r="I34" s="44" t="inlineStr">
        <is>
          <t>마나우스항 (Porto de Manaus / Chibatao) (BRMAO)</t>
        </is>
      </c>
      <c r="J34" s="51" t="n">
        <v>0.144</v>
      </c>
      <c r="K34" s="51" t="n">
        <v>0.144</v>
      </c>
      <c r="L34" s="43" t="inlineStr">
        <is>
          <t>N</t>
        </is>
      </c>
      <c r="M34" s="45" t="inlineStr">
        <is>
          <t>-</t>
        </is>
      </c>
      <c r="N34" s="51" t="n">
        <v>0</v>
      </c>
      <c r="O34" s="52">
        <f>IF(L34="Y",K34,J34)+N34</f>
        <v/>
      </c>
      <c r="P34" s="44" t="inlineStr">
        <is>
          <t>마나우스항 통관: 중국·인도산 AD 미대상 (마나우스 자유무역지대 ZFM 88% 감면 시 1.73%)</t>
        </is>
      </c>
    </row>
    <row r="35" ht="15" customHeight="1" s="32">
      <c r="A35" s="37" t="inlineStr">
        <is>
          <t>GI</t>
        </is>
      </c>
      <c r="B35" s="37" t="inlineStr">
        <is>
          <t>Steel</t>
        </is>
      </c>
      <c r="C35" s="39" t="inlineStr">
        <is>
          <t>GI (용융아연도금강판)</t>
        </is>
      </c>
      <c r="D35" s="37" t="inlineStr">
        <is>
          <t>HS 7210.49</t>
        </is>
      </c>
      <c r="E35" s="37" t="inlineStr">
        <is>
          <t>TH</t>
        </is>
      </c>
      <c r="F35" s="38" t="inlineStr">
        <is>
          <t>태국</t>
        </is>
      </c>
      <c r="G35" s="37" t="inlineStr">
        <is>
          <t>EG</t>
        </is>
      </c>
      <c r="H35" s="38" t="inlineStr">
        <is>
          <t>이집트 (카이로)</t>
        </is>
      </c>
      <c r="I35" s="38" t="inlineStr">
        <is>
          <t>아인소크나항 (Ain Sokhna) / 알렉산드리아항 (EGSOK / EGALY)</t>
        </is>
      </c>
      <c r="J35" s="49" t="n">
        <v>0.12</v>
      </c>
      <c r="K35" s="49" t="n">
        <v>0.12</v>
      </c>
      <c r="L35" s="37" t="inlineStr">
        <is>
          <t>N</t>
        </is>
      </c>
      <c r="M35" s="39" t="inlineStr">
        <is>
          <t>-</t>
        </is>
      </c>
      <c r="N35" s="49" t="n">
        <v>0</v>
      </c>
      <c r="O35" s="50">
        <f>IF(L35="Y",K35,J35)+N35</f>
        <v/>
      </c>
      <c r="P35" s="38" t="inlineStr">
        <is>
          <t>아인소크나항(EGSOK)-&gt;카이로: 이집트 HS 7210 도금/도장강판 기본 MFN 12% 적용</t>
        </is>
      </c>
    </row>
    <row r="36" ht="15" customHeight="1" s="32">
      <c r="A36" s="43" t="inlineStr">
        <is>
          <t>GI</t>
        </is>
      </c>
      <c r="B36" s="43" t="inlineStr">
        <is>
          <t>Steel</t>
        </is>
      </c>
      <c r="C36" s="45" t="inlineStr">
        <is>
          <t>GI (용융아연도금강판)</t>
        </is>
      </c>
      <c r="D36" s="43" t="inlineStr">
        <is>
          <t>HS 7210.49</t>
        </is>
      </c>
      <c r="E36" s="43" t="inlineStr">
        <is>
          <t>TH</t>
        </is>
      </c>
      <c r="F36" s="44" t="inlineStr">
        <is>
          <t>태국</t>
        </is>
      </c>
      <c r="G36" s="43" t="inlineStr">
        <is>
          <t>US</t>
        </is>
      </c>
      <c r="H36" s="44" t="inlineStr">
        <is>
          <t>미국 (클락스빌)</t>
        </is>
      </c>
      <c r="I36" s="44" t="inlineStr">
        <is>
          <t>서배너항 (Savannah) / 찰스턴항 + 철도Ramp (USSAV / USCHS)</t>
        </is>
      </c>
      <c r="J36" s="51" t="n">
        <v>0</v>
      </c>
      <c r="K36" s="51" t="n">
        <v>0</v>
      </c>
      <c r="L36" s="43" t="inlineStr">
        <is>
          <t>N</t>
        </is>
      </c>
      <c r="M36" s="45" t="inlineStr">
        <is>
          <t>-</t>
        </is>
      </c>
      <c r="N36" s="51" t="n">
        <v>0.525</v>
      </c>
      <c r="O36" s="52">
        <f>IF(L36="Y",K36,J36)+N36</f>
        <v/>
      </c>
      <c r="P36" s="44" t="inlineStr">
        <is>
          <t>서배너항-&gt;클락스빌: 미국 232조 철강 관세 50% + 2026.4 상무부 우회수출 조사 리스크</t>
        </is>
      </c>
    </row>
    <row r="37" ht="15" customHeight="1" s="32">
      <c r="A37" s="37" t="inlineStr">
        <is>
          <t>GI</t>
        </is>
      </c>
      <c r="B37" s="37" t="inlineStr">
        <is>
          <t>Steel</t>
        </is>
      </c>
      <c r="C37" s="39" t="inlineStr">
        <is>
          <t>GI (용융아연도금강판)</t>
        </is>
      </c>
      <c r="D37" s="37" t="inlineStr">
        <is>
          <t>HS 7210.49</t>
        </is>
      </c>
      <c r="E37" s="37" t="inlineStr">
        <is>
          <t>TH</t>
        </is>
      </c>
      <c r="F37" s="38" t="inlineStr">
        <is>
          <t>태국</t>
        </is>
      </c>
      <c r="G37" s="37" t="inlineStr">
        <is>
          <t>NO</t>
        </is>
      </c>
      <c r="H37" s="38" t="inlineStr">
        <is>
          <t>노르웨이 (오슬로)</t>
        </is>
      </c>
      <c r="I37" s="38" t="inlineStr">
        <is>
          <t>오슬로항 (Port of Oslo) (NOOSL)</t>
        </is>
      </c>
      <c r="J37" s="49" t="n">
        <v>0</v>
      </c>
      <c r="K37" s="49" t="n">
        <v>0</v>
      </c>
      <c r="L37" s="37" t="inlineStr">
        <is>
          <t>N</t>
        </is>
      </c>
      <c r="M37" s="38" t="inlineStr">
        <is>
          <t>노르웨이 공산품 무관세 (한-EFTA 등)</t>
        </is>
      </c>
      <c r="N37" s="49" t="n">
        <v>0</v>
      </c>
      <c r="O37" s="50">
        <f>IF(L37="Y",K37,J37)+N37</f>
        <v/>
      </c>
      <c r="P37" s="38" t="inlineStr">
        <is>
          <t>오슬로항(NOOSL) 통관: 노르웨이 관세청(Tolltariffen) 철강·합성수지 전 품목 MFN 0% 무관세</t>
        </is>
      </c>
    </row>
    <row r="38" ht="15" customHeight="1" s="32">
      <c r="A38" s="43" t="inlineStr">
        <is>
          <t>GI</t>
        </is>
      </c>
      <c r="B38" s="43" t="inlineStr">
        <is>
          <t>Steel</t>
        </is>
      </c>
      <c r="C38" s="45" t="inlineStr">
        <is>
          <t>GI (용융아연도금강판)</t>
        </is>
      </c>
      <c r="D38" s="43" t="inlineStr">
        <is>
          <t>HS 7210.49</t>
        </is>
      </c>
      <c r="E38" s="43" t="inlineStr">
        <is>
          <t>IN</t>
        </is>
      </c>
      <c r="F38" s="44" t="inlineStr">
        <is>
          <t>인도</t>
        </is>
      </c>
      <c r="G38" s="43" t="inlineStr">
        <is>
          <t>KR</t>
        </is>
      </c>
      <c r="H38" s="44" t="inlineStr">
        <is>
          <t>한국 (부산)</t>
        </is>
      </c>
      <c r="I38" s="44" t="inlineStr">
        <is>
          <t>부산항 (Port of Busan) (KRPUS)</t>
        </is>
      </c>
      <c r="J38" s="51" t="n">
        <v>0</v>
      </c>
      <c r="K38" s="51" t="n">
        <v>0</v>
      </c>
      <c r="L38" s="43" t="inlineStr">
        <is>
          <t>N</t>
        </is>
      </c>
      <c r="M38" s="45" t="inlineStr">
        <is>
          <t>WTO 철강 무관세</t>
        </is>
      </c>
      <c r="N38" s="51" t="n">
        <v>0</v>
      </c>
      <c r="O38" s="52">
        <f>IF(L38="Y",K38,J38)+N38</f>
        <v/>
      </c>
      <c r="P38" s="44" t="inlineStr">
        <is>
          <t>부산항 통관: HS 7210 한국 MFN 기본관세 0% (WTO 철강 무관세 협정, 반덤핑 미대상)</t>
        </is>
      </c>
    </row>
    <row r="39" ht="15" customHeight="1" s="32">
      <c r="A39" s="37" t="inlineStr">
        <is>
          <t>GI</t>
        </is>
      </c>
      <c r="B39" s="37" t="inlineStr">
        <is>
          <t>Steel</t>
        </is>
      </c>
      <c r="C39" s="39" t="inlineStr">
        <is>
          <t>GI (용융아연도금강판)</t>
        </is>
      </c>
      <c r="D39" s="37" t="inlineStr">
        <is>
          <t>HS 7210.49</t>
        </is>
      </c>
      <c r="E39" s="37" t="inlineStr">
        <is>
          <t>IN</t>
        </is>
      </c>
      <c r="F39" s="38" t="inlineStr">
        <is>
          <t>인도</t>
        </is>
      </c>
      <c r="G39" s="37" t="inlineStr">
        <is>
          <t>CN</t>
        </is>
      </c>
      <c r="H39" s="38" t="inlineStr">
        <is>
          <t>중국 (천진)</t>
        </is>
      </c>
      <c r="I39" s="38" t="inlineStr">
        <is>
          <t>천진 신강항 (Tianjin Xingang) (CNTSN)</t>
        </is>
      </c>
      <c r="J39" s="49" t="n">
        <v>0.05</v>
      </c>
      <c r="K39" s="49" t="n">
        <v>0.05</v>
      </c>
      <c r="L39" s="37" t="inlineStr">
        <is>
          <t>N</t>
        </is>
      </c>
      <c r="M39" s="39" t="inlineStr">
        <is>
          <t>-</t>
        </is>
      </c>
      <c r="N39" s="49" t="n">
        <v>0</v>
      </c>
      <c r="O39" s="50">
        <f>IF(L39="Y",K39,J39)+N39</f>
        <v/>
      </c>
      <c r="P39" s="39" t="inlineStr">
        <is>
          <t>WTO/WITS 일반 MFN 세율 적용</t>
        </is>
      </c>
    </row>
    <row r="40" ht="15" customHeight="1" s="32">
      <c r="A40" s="43" t="inlineStr">
        <is>
          <t>GI</t>
        </is>
      </c>
      <c r="B40" s="43" t="inlineStr">
        <is>
          <t>Steel</t>
        </is>
      </c>
      <c r="C40" s="45" t="inlineStr">
        <is>
          <t>GI (용융아연도금강판)</t>
        </is>
      </c>
      <c r="D40" s="43" t="inlineStr">
        <is>
          <t>HS 7210.49</t>
        </is>
      </c>
      <c r="E40" s="43" t="inlineStr">
        <is>
          <t>IN</t>
        </is>
      </c>
      <c r="F40" s="44" t="inlineStr">
        <is>
          <t>인도</t>
        </is>
      </c>
      <c r="G40" s="43" t="inlineStr">
        <is>
          <t>IN_NOI</t>
        </is>
      </c>
      <c r="H40" s="44" t="inlineStr">
        <is>
          <t>인도 (노이다)</t>
        </is>
      </c>
      <c r="I40" s="44" t="inlineStr">
        <is>
          <t>문드라항 (Mundra) + ICD 다드리 (INMUN-&gt;INDAD)</t>
        </is>
      </c>
      <c r="J40" s="51" t="n">
        <v>0</v>
      </c>
      <c r="K40" s="51" t="n">
        <v>0</v>
      </c>
      <c r="L40" s="43" t="inlineStr">
        <is>
          <t>N</t>
        </is>
      </c>
      <c r="M40" s="44" t="inlineStr">
        <is>
          <t>내수 조달 (관세 없음)</t>
        </is>
      </c>
      <c r="N40" s="51" t="n">
        <v>0</v>
      </c>
      <c r="O40" s="52">
        <f>IF(L40="Y",K40,J40)+N40</f>
        <v/>
      </c>
      <c r="P40" s="44" t="inlineStr">
        <is>
          <t>동일 국가 내 조달 (노이다 (Noida, Delhi NCR) 직송, 수입관세 면제)</t>
        </is>
      </c>
    </row>
    <row r="41" ht="15" customHeight="1" s="32">
      <c r="A41" s="37" t="inlineStr">
        <is>
          <t>GI</t>
        </is>
      </c>
      <c r="B41" s="37" t="inlineStr">
        <is>
          <t>Steel</t>
        </is>
      </c>
      <c r="C41" s="39" t="inlineStr">
        <is>
          <t>GI (용융아연도금강판)</t>
        </is>
      </c>
      <c r="D41" s="37" t="inlineStr">
        <is>
          <t>HS 7210.49</t>
        </is>
      </c>
      <c r="E41" s="37" t="inlineStr">
        <is>
          <t>IN</t>
        </is>
      </c>
      <c r="F41" s="38" t="inlineStr">
        <is>
          <t>인도</t>
        </is>
      </c>
      <c r="G41" s="37" t="inlineStr">
        <is>
          <t>IN_PUN</t>
        </is>
      </c>
      <c r="H41" s="38" t="inlineStr">
        <is>
          <t>인도 (푸네)</t>
        </is>
      </c>
      <c r="I41" s="38" t="inlineStr">
        <is>
          <t>나바셰바항 (JNPT Mumbai) (INNSA)</t>
        </is>
      </c>
      <c r="J41" s="49" t="n">
        <v>0</v>
      </c>
      <c r="K41" s="49" t="n">
        <v>0</v>
      </c>
      <c r="L41" s="37" t="inlineStr">
        <is>
          <t>N</t>
        </is>
      </c>
      <c r="M41" s="38" t="inlineStr">
        <is>
          <t>내수 조달 (관세 없음)</t>
        </is>
      </c>
      <c r="N41" s="49" t="n">
        <v>0</v>
      </c>
      <c r="O41" s="50">
        <f>IF(L41="Y",K41,J41)+N41</f>
        <v/>
      </c>
      <c r="P41" s="38" t="inlineStr">
        <is>
          <t>동일 국가 내 조달 (푸네 (Pune, Maharashtra) 직송, 수입관세 면제)</t>
        </is>
      </c>
    </row>
    <row r="42" ht="15" customHeight="1" s="32">
      <c r="A42" s="43" t="inlineStr">
        <is>
          <t>GI</t>
        </is>
      </c>
      <c r="B42" s="43" t="inlineStr">
        <is>
          <t>Steel</t>
        </is>
      </c>
      <c r="C42" s="45" t="inlineStr">
        <is>
          <t>GI (용융아연도금강판)</t>
        </is>
      </c>
      <c r="D42" s="43" t="inlineStr">
        <is>
          <t>HS 7210.49</t>
        </is>
      </c>
      <c r="E42" s="43" t="inlineStr">
        <is>
          <t>IN</t>
        </is>
      </c>
      <c r="F42" s="44" t="inlineStr">
        <is>
          <t>인도</t>
        </is>
      </c>
      <c r="G42" s="43" t="inlineStr">
        <is>
          <t>TH</t>
        </is>
      </c>
      <c r="H42" s="44" t="inlineStr">
        <is>
          <t>태국 (람차방)</t>
        </is>
      </c>
      <c r="I42" s="44" t="inlineStr">
        <is>
          <t>람차방항 (Laem Chabang) (THLCH)</t>
        </is>
      </c>
      <c r="J42" s="51" t="n">
        <v>0.07000000000000001</v>
      </c>
      <c r="K42" s="51" t="n">
        <v>0.025</v>
      </c>
      <c r="L42" s="43" t="inlineStr">
        <is>
          <t>Y</t>
        </is>
      </c>
      <c r="M42" s="44" t="inlineStr">
        <is>
          <t>태국-인도 FTA</t>
        </is>
      </c>
      <c r="N42" s="51" t="n">
        <v>0</v>
      </c>
      <c r="O42" s="52">
        <f>IF(L42="Y",K42,J42)+N42</f>
        <v/>
      </c>
      <c r="P42" s="44" t="inlineStr">
        <is>
          <t>람차방항 통관: 태국-인도 FTA 양허세율 적용 (AD 미대상)</t>
        </is>
      </c>
    </row>
    <row r="43" ht="15" customHeight="1" s="32">
      <c r="A43" s="37" t="inlineStr">
        <is>
          <t>GI</t>
        </is>
      </c>
      <c r="B43" s="37" t="inlineStr">
        <is>
          <t>Steel</t>
        </is>
      </c>
      <c r="C43" s="39" t="inlineStr">
        <is>
          <t>GI (용융아연도금강판)</t>
        </is>
      </c>
      <c r="D43" s="37" t="inlineStr">
        <is>
          <t>HS 7210.49</t>
        </is>
      </c>
      <c r="E43" s="37" t="inlineStr">
        <is>
          <t>IN</t>
        </is>
      </c>
      <c r="F43" s="38" t="inlineStr">
        <is>
          <t>인도</t>
        </is>
      </c>
      <c r="G43" s="37" t="inlineStr">
        <is>
          <t>ID</t>
        </is>
      </c>
      <c r="H43" s="38" t="inlineStr">
        <is>
          <t>인니 (자카르타)</t>
        </is>
      </c>
      <c r="I43" s="38" t="inlineStr">
        <is>
          <t>탄중프리옥항 (Tanjung Priok) (IDJKT)</t>
        </is>
      </c>
      <c r="J43" s="49" t="n">
        <v>0.15</v>
      </c>
      <c r="K43" s="49" t="n">
        <v>0.05</v>
      </c>
      <c r="L43" s="37" t="inlineStr">
        <is>
          <t>Y</t>
        </is>
      </c>
      <c r="M43" s="38" t="inlineStr">
        <is>
          <t>인도-ASEAN FTA</t>
        </is>
      </c>
      <c r="N43" s="49" t="n">
        <v>0.055</v>
      </c>
      <c r="O43" s="50">
        <f>IF(L43="Y",K43,J43)+N43</f>
        <v/>
      </c>
      <c r="P43" s="38" t="inlineStr">
        <is>
          <t>탄중프리옥항 통관: 아세안-인도 협정세율 및 세이프가드 반영</t>
        </is>
      </c>
    </row>
    <row r="44" ht="15" customHeight="1" s="32">
      <c r="A44" s="43" t="inlineStr">
        <is>
          <t>GI</t>
        </is>
      </c>
      <c r="B44" s="43" t="inlineStr">
        <is>
          <t>Steel</t>
        </is>
      </c>
      <c r="C44" s="45" t="inlineStr">
        <is>
          <t>GI (용융아연도금강판)</t>
        </is>
      </c>
      <c r="D44" s="43" t="inlineStr">
        <is>
          <t>HS 7210.49</t>
        </is>
      </c>
      <c r="E44" s="43" t="inlineStr">
        <is>
          <t>IN</t>
        </is>
      </c>
      <c r="F44" s="44" t="inlineStr">
        <is>
          <t>인도</t>
        </is>
      </c>
      <c r="G44" s="43" t="inlineStr">
        <is>
          <t>SA</t>
        </is>
      </c>
      <c r="H44" s="44" t="inlineStr">
        <is>
          <t>사우디 (제다)</t>
        </is>
      </c>
      <c r="I44" s="44" t="inlineStr">
        <is>
          <t>제다 이슬람항 (Jeddah Islamic Port) (SAJED)</t>
        </is>
      </c>
      <c r="J44" s="51" t="n">
        <v>0.1</v>
      </c>
      <c r="K44" s="51" t="n">
        <v>0.1</v>
      </c>
      <c r="L44" s="43" t="inlineStr">
        <is>
          <t>N</t>
        </is>
      </c>
      <c r="M44" s="45" t="inlineStr">
        <is>
          <t>-</t>
        </is>
      </c>
      <c r="N44" s="51" t="n">
        <v>0</v>
      </c>
      <c r="O44" s="52">
        <f>IF(L44="Y",K44,J44)+N44</f>
        <v/>
      </c>
      <c r="P44" s="44" t="inlineStr">
        <is>
          <t>제다 이슬람항 통관: 사우디 ZATCA 철강재 관세 10%</t>
        </is>
      </c>
    </row>
    <row r="45" ht="15" customHeight="1" s="32">
      <c r="A45" s="37" t="inlineStr">
        <is>
          <t>GI</t>
        </is>
      </c>
      <c r="B45" s="37" t="inlineStr">
        <is>
          <t>Steel</t>
        </is>
      </c>
      <c r="C45" s="39" t="inlineStr">
        <is>
          <t>GI (용융아연도금강판)</t>
        </is>
      </c>
      <c r="D45" s="37" t="inlineStr">
        <is>
          <t>HS 7210.49</t>
        </is>
      </c>
      <c r="E45" s="37" t="inlineStr">
        <is>
          <t>IN</t>
        </is>
      </c>
      <c r="F45" s="38" t="inlineStr">
        <is>
          <t>인도</t>
        </is>
      </c>
      <c r="G45" s="37" t="inlineStr">
        <is>
          <t>BR</t>
        </is>
      </c>
      <c r="H45" s="38" t="inlineStr">
        <is>
          <t>브라질 (마나우스)</t>
        </is>
      </c>
      <c r="I45" s="38" t="inlineStr">
        <is>
          <t>마나우스항 (Porto de Manaus / Chibatao) (BRMAO)</t>
        </is>
      </c>
      <c r="J45" s="49" t="n">
        <v>0.144</v>
      </c>
      <c r="K45" s="49" t="n">
        <v>0.144</v>
      </c>
      <c r="L45" s="37" t="inlineStr">
        <is>
          <t>N</t>
        </is>
      </c>
      <c r="M45" s="39" t="inlineStr">
        <is>
          <t>-</t>
        </is>
      </c>
      <c r="N45" s="49" t="n">
        <v>0.106</v>
      </c>
      <c r="O45" s="50">
        <f>IF(L45="Y",K45,J45)+N45</f>
        <v/>
      </c>
      <c r="P45" s="38" t="inlineStr">
        <is>
          <t>마나우스항 통관: 브라질 Secex(2026.1) 인도산 PCM 확정 AD 부과 / GI는 25% 쿼터관세 반영</t>
        </is>
      </c>
    </row>
    <row r="46" ht="15" customHeight="1" s="32">
      <c r="A46" s="43" t="inlineStr">
        <is>
          <t>GI</t>
        </is>
      </c>
      <c r="B46" s="43" t="inlineStr">
        <is>
          <t>Steel</t>
        </is>
      </c>
      <c r="C46" s="45" t="inlineStr">
        <is>
          <t>GI (용융아연도금강판)</t>
        </is>
      </c>
      <c r="D46" s="43" t="inlineStr">
        <is>
          <t>HS 7210.49</t>
        </is>
      </c>
      <c r="E46" s="43" t="inlineStr">
        <is>
          <t>IN</t>
        </is>
      </c>
      <c r="F46" s="44" t="inlineStr">
        <is>
          <t>인도</t>
        </is>
      </c>
      <c r="G46" s="43" t="inlineStr">
        <is>
          <t>EG</t>
        </is>
      </c>
      <c r="H46" s="44" t="inlineStr">
        <is>
          <t>이집트 (카이로)</t>
        </is>
      </c>
      <c r="I46" s="44" t="inlineStr">
        <is>
          <t>아인소크나항 (Ain Sokhna) / 알렉산드리아항 (EGSOK / EGALY)</t>
        </is>
      </c>
      <c r="J46" s="51" t="n">
        <v>0.12</v>
      </c>
      <c r="K46" s="51" t="n">
        <v>0.12</v>
      </c>
      <c r="L46" s="43" t="inlineStr">
        <is>
          <t>N</t>
        </is>
      </c>
      <c r="M46" s="45" t="inlineStr">
        <is>
          <t>-</t>
        </is>
      </c>
      <c r="N46" s="51" t="n">
        <v>0.05</v>
      </c>
      <c r="O46" s="52">
        <f>IF(L46="Y",K46,J46)+N46</f>
        <v/>
      </c>
      <c r="P46" s="44" t="inlineStr">
        <is>
          <t>아인소크나항(EGSOK)-&gt;카이로: 이집트 기본 12% + 철강 세이프가드 모니터링</t>
        </is>
      </c>
    </row>
    <row r="47" ht="15" customHeight="1" s="32">
      <c r="A47" s="37" t="inlineStr">
        <is>
          <t>GI</t>
        </is>
      </c>
      <c r="B47" s="37" t="inlineStr">
        <is>
          <t>Steel</t>
        </is>
      </c>
      <c r="C47" s="39" t="inlineStr">
        <is>
          <t>GI (용융아연도금강판)</t>
        </is>
      </c>
      <c r="D47" s="37" t="inlineStr">
        <is>
          <t>HS 7210.49</t>
        </is>
      </c>
      <c r="E47" s="37" t="inlineStr">
        <is>
          <t>IN</t>
        </is>
      </c>
      <c r="F47" s="38" t="inlineStr">
        <is>
          <t>인도</t>
        </is>
      </c>
      <c r="G47" s="37" t="inlineStr">
        <is>
          <t>US</t>
        </is>
      </c>
      <c r="H47" s="38" t="inlineStr">
        <is>
          <t>미국 (클락스빌)</t>
        </is>
      </c>
      <c r="I47" s="38" t="inlineStr">
        <is>
          <t>서배너항 (Savannah) / 찰스턴항 + 철도Ramp (USSAV / USCHS)</t>
        </is>
      </c>
      <c r="J47" s="49" t="n">
        <v>0</v>
      </c>
      <c r="K47" s="49" t="n">
        <v>0</v>
      </c>
      <c r="L47" s="37" t="inlineStr">
        <is>
          <t>N</t>
        </is>
      </c>
      <c r="M47" s="39" t="inlineStr">
        <is>
          <t>-</t>
        </is>
      </c>
      <c r="N47" s="49" t="n">
        <v>0.5649999999999999</v>
      </c>
      <c r="O47" s="50">
        <f>IF(L47="Y",K47,J47)+N47</f>
        <v/>
      </c>
      <c r="P47" s="38" t="inlineStr">
        <is>
          <t>서배너항-&gt;클락스빌: 미국 232조 철강 관세 50% + 인도산 도금강판 AD/CVD(~6.5%)</t>
        </is>
      </c>
    </row>
    <row r="48" ht="15" customHeight="1" s="32">
      <c r="A48" s="43" t="inlineStr">
        <is>
          <t>GI</t>
        </is>
      </c>
      <c r="B48" s="43" t="inlineStr">
        <is>
          <t>Steel</t>
        </is>
      </c>
      <c r="C48" s="45" t="inlineStr">
        <is>
          <t>GI (용융아연도금강판)</t>
        </is>
      </c>
      <c r="D48" s="43" t="inlineStr">
        <is>
          <t>HS 7210.49</t>
        </is>
      </c>
      <c r="E48" s="43" t="inlineStr">
        <is>
          <t>IN</t>
        </is>
      </c>
      <c r="F48" s="44" t="inlineStr">
        <is>
          <t>인도</t>
        </is>
      </c>
      <c r="G48" s="43" t="inlineStr">
        <is>
          <t>NO</t>
        </is>
      </c>
      <c r="H48" s="44" t="inlineStr">
        <is>
          <t>노르웨이 (오슬로)</t>
        </is>
      </c>
      <c r="I48" s="44" t="inlineStr">
        <is>
          <t>오슬로항 (Port of Oslo) (NOOSL)</t>
        </is>
      </c>
      <c r="J48" s="51" t="n">
        <v>0</v>
      </c>
      <c r="K48" s="51" t="n">
        <v>0</v>
      </c>
      <c r="L48" s="43" t="inlineStr">
        <is>
          <t>N</t>
        </is>
      </c>
      <c r="M48" s="44" t="inlineStr">
        <is>
          <t>노르웨이 공산품 무관세 (한-EFTA 등)</t>
        </is>
      </c>
      <c r="N48" s="51" t="n">
        <v>0</v>
      </c>
      <c r="O48" s="52">
        <f>IF(L48="Y",K48,J48)+N48</f>
        <v/>
      </c>
      <c r="P48" s="44" t="inlineStr">
        <is>
          <t>오슬로항(NOOSL) 통관: 노르웨이 관세청(Tolltariffen) 철강·합성수지 전 품목 MFN 0% 무관세</t>
        </is>
      </c>
    </row>
    <row r="49" ht="15" customHeight="1" s="32">
      <c r="A49" s="37" t="inlineStr">
        <is>
          <t>GI</t>
        </is>
      </c>
      <c r="B49" s="37" t="inlineStr">
        <is>
          <t>Steel</t>
        </is>
      </c>
      <c r="C49" s="39" t="inlineStr">
        <is>
          <t>GI (용융아연도금강판)</t>
        </is>
      </c>
      <c r="D49" s="37" t="inlineStr">
        <is>
          <t>HS 7210.49</t>
        </is>
      </c>
      <c r="E49" s="37" t="inlineStr">
        <is>
          <t>US</t>
        </is>
      </c>
      <c r="F49" s="38" t="inlineStr">
        <is>
          <t>미국</t>
        </is>
      </c>
      <c r="G49" s="37" t="inlineStr">
        <is>
          <t>KR</t>
        </is>
      </c>
      <c r="H49" s="38" t="inlineStr">
        <is>
          <t>한국 (부산)</t>
        </is>
      </c>
      <c r="I49" s="38" t="inlineStr">
        <is>
          <t>부산항 (Port of Busan) (KRPUS)</t>
        </is>
      </c>
      <c r="J49" s="49" t="n">
        <v>0</v>
      </c>
      <c r="K49" s="49" t="n">
        <v>0</v>
      </c>
      <c r="L49" s="37" t="inlineStr">
        <is>
          <t>N</t>
        </is>
      </c>
      <c r="M49" s="39" t="inlineStr">
        <is>
          <t>WTO 철강 무관세</t>
        </is>
      </c>
      <c r="N49" s="49" t="n">
        <v>0</v>
      </c>
      <c r="O49" s="50">
        <f>IF(L49="Y",K49,J49)+N49</f>
        <v/>
      </c>
      <c r="P49" s="38" t="inlineStr">
        <is>
          <t>부산항 통관: HS 7210 한국 MFN 기본관세 0% (WTO 철강 무관세 협정, 반덤핑 미대상)</t>
        </is>
      </c>
    </row>
    <row r="50" ht="15" customHeight="1" s="32">
      <c r="A50" s="43" t="inlineStr">
        <is>
          <t>GI</t>
        </is>
      </c>
      <c r="B50" s="43" t="inlineStr">
        <is>
          <t>Steel</t>
        </is>
      </c>
      <c r="C50" s="45" t="inlineStr">
        <is>
          <t>GI (용융아연도금강판)</t>
        </is>
      </c>
      <c r="D50" s="43" t="inlineStr">
        <is>
          <t>HS 7210.49</t>
        </is>
      </c>
      <c r="E50" s="43" t="inlineStr">
        <is>
          <t>US</t>
        </is>
      </c>
      <c r="F50" s="44" t="inlineStr">
        <is>
          <t>미국</t>
        </is>
      </c>
      <c r="G50" s="43" t="inlineStr">
        <is>
          <t>CN</t>
        </is>
      </c>
      <c r="H50" s="44" t="inlineStr">
        <is>
          <t>중국 (천진)</t>
        </is>
      </c>
      <c r="I50" s="44" t="inlineStr">
        <is>
          <t>천진 신강항 (Tianjin Xingang) (CNTSN)</t>
        </is>
      </c>
      <c r="J50" s="51" t="n">
        <v>0.05</v>
      </c>
      <c r="K50" s="51" t="n">
        <v>0.05</v>
      </c>
      <c r="L50" s="43" t="inlineStr">
        <is>
          <t>N</t>
        </is>
      </c>
      <c r="M50" s="45" t="inlineStr">
        <is>
          <t>-</t>
        </is>
      </c>
      <c r="N50" s="51" t="n">
        <v>0.25</v>
      </c>
      <c r="O50" s="52">
        <f>IF(L50="Y",K50,J50)+N50</f>
        <v/>
      </c>
      <c r="P50" s="44" t="inlineStr">
        <is>
          <t>천진 신강항 통관: 대미 보복관세(15~25%) 부과 대상</t>
        </is>
      </c>
    </row>
    <row r="51" ht="15" customHeight="1" s="32">
      <c r="A51" s="37" t="inlineStr">
        <is>
          <t>GI</t>
        </is>
      </c>
      <c r="B51" s="37" t="inlineStr">
        <is>
          <t>Steel</t>
        </is>
      </c>
      <c r="C51" s="39" t="inlineStr">
        <is>
          <t>GI (용융아연도금강판)</t>
        </is>
      </c>
      <c r="D51" s="37" t="inlineStr">
        <is>
          <t>HS 7210.49</t>
        </is>
      </c>
      <c r="E51" s="37" t="inlineStr">
        <is>
          <t>US</t>
        </is>
      </c>
      <c r="F51" s="38" t="inlineStr">
        <is>
          <t>미국</t>
        </is>
      </c>
      <c r="G51" s="37" t="inlineStr">
        <is>
          <t>IN_NOI</t>
        </is>
      </c>
      <c r="H51" s="38" t="inlineStr">
        <is>
          <t>인도 (노이다)</t>
        </is>
      </c>
      <c r="I51" s="38" t="inlineStr">
        <is>
          <t>문드라항 (Mundra) + ICD 다드리 (INMUN-&gt;INDAD)</t>
        </is>
      </c>
      <c r="J51" s="49" t="n">
        <v>0.11</v>
      </c>
      <c r="K51" s="49" t="n">
        <v>0.11</v>
      </c>
      <c r="L51" s="37" t="inlineStr">
        <is>
          <t>N</t>
        </is>
      </c>
      <c r="M51" s="39" t="inlineStr">
        <is>
          <t>-</t>
        </is>
      </c>
      <c r="N51" s="49" t="n">
        <v>0</v>
      </c>
      <c r="O51" s="50">
        <f>IF(L51="Y",K51,J51)+N51</f>
        <v/>
      </c>
      <c r="P51" s="39" t="inlineStr">
        <is>
          <t>WTO/WITS 일반 MFN 세율 적용</t>
        </is>
      </c>
    </row>
    <row r="52" ht="15" customHeight="1" s="32">
      <c r="A52" s="43" t="inlineStr">
        <is>
          <t>GI</t>
        </is>
      </c>
      <c r="B52" s="43" t="inlineStr">
        <is>
          <t>Steel</t>
        </is>
      </c>
      <c r="C52" s="45" t="inlineStr">
        <is>
          <t>GI (용융아연도금강판)</t>
        </is>
      </c>
      <c r="D52" s="43" t="inlineStr">
        <is>
          <t>HS 7210.49</t>
        </is>
      </c>
      <c r="E52" s="43" t="inlineStr">
        <is>
          <t>US</t>
        </is>
      </c>
      <c r="F52" s="44" t="inlineStr">
        <is>
          <t>미국</t>
        </is>
      </c>
      <c r="G52" s="43" t="inlineStr">
        <is>
          <t>IN_PUN</t>
        </is>
      </c>
      <c r="H52" s="44" t="inlineStr">
        <is>
          <t>인도 (푸네)</t>
        </is>
      </c>
      <c r="I52" s="44" t="inlineStr">
        <is>
          <t>나바셰바항 (JNPT Mumbai) (INNSA)</t>
        </is>
      </c>
      <c r="J52" s="51" t="n">
        <v>0.11</v>
      </c>
      <c r="K52" s="51" t="n">
        <v>0.11</v>
      </c>
      <c r="L52" s="43" t="inlineStr">
        <is>
          <t>N</t>
        </is>
      </c>
      <c r="M52" s="45" t="inlineStr">
        <is>
          <t>-</t>
        </is>
      </c>
      <c r="N52" s="51" t="n">
        <v>0</v>
      </c>
      <c r="O52" s="52">
        <f>IF(L52="Y",K52,J52)+N52</f>
        <v/>
      </c>
      <c r="P52" s="45" t="inlineStr">
        <is>
          <t>WTO/WITS 일반 MFN 세율 적용</t>
        </is>
      </c>
    </row>
    <row r="53" ht="15" customHeight="1" s="32">
      <c r="A53" s="37" t="inlineStr">
        <is>
          <t>GI</t>
        </is>
      </c>
      <c r="B53" s="37" t="inlineStr">
        <is>
          <t>Steel</t>
        </is>
      </c>
      <c r="C53" s="39" t="inlineStr">
        <is>
          <t>GI (용융아연도금강판)</t>
        </is>
      </c>
      <c r="D53" s="37" t="inlineStr">
        <is>
          <t>HS 7210.49</t>
        </is>
      </c>
      <c r="E53" s="37" t="inlineStr">
        <is>
          <t>US</t>
        </is>
      </c>
      <c r="F53" s="38" t="inlineStr">
        <is>
          <t>미국</t>
        </is>
      </c>
      <c r="G53" s="37" t="inlineStr">
        <is>
          <t>TH</t>
        </is>
      </c>
      <c r="H53" s="38" t="inlineStr">
        <is>
          <t>태국 (람차방)</t>
        </is>
      </c>
      <c r="I53" s="38" t="inlineStr">
        <is>
          <t>람차방항 (Laem Chabang) (THLCH)</t>
        </is>
      </c>
      <c r="J53" s="49" t="n">
        <v>0.07000000000000001</v>
      </c>
      <c r="K53" s="49" t="n">
        <v>0.07000000000000001</v>
      </c>
      <c r="L53" s="37" t="inlineStr">
        <is>
          <t>N</t>
        </is>
      </c>
      <c r="M53" s="39" t="inlineStr">
        <is>
          <t>-</t>
        </is>
      </c>
      <c r="N53" s="49" t="n">
        <v>0</v>
      </c>
      <c r="O53" s="50">
        <f>IF(L53="Y",K53,J53)+N53</f>
        <v/>
      </c>
      <c r="P53" s="39" t="inlineStr">
        <is>
          <t>WTO/WITS 일반 MFN 세율 적용</t>
        </is>
      </c>
    </row>
    <row r="54" ht="15" customHeight="1" s="32">
      <c r="A54" s="43" t="inlineStr">
        <is>
          <t>GI</t>
        </is>
      </c>
      <c r="B54" s="43" t="inlineStr">
        <is>
          <t>Steel</t>
        </is>
      </c>
      <c r="C54" s="45" t="inlineStr">
        <is>
          <t>GI (용융아연도금강판)</t>
        </is>
      </c>
      <c r="D54" s="43" t="inlineStr">
        <is>
          <t>HS 7210.49</t>
        </is>
      </c>
      <c r="E54" s="43" t="inlineStr">
        <is>
          <t>US</t>
        </is>
      </c>
      <c r="F54" s="44" t="inlineStr">
        <is>
          <t>미국</t>
        </is>
      </c>
      <c r="G54" s="43" t="inlineStr">
        <is>
          <t>ID</t>
        </is>
      </c>
      <c r="H54" s="44" t="inlineStr">
        <is>
          <t>인니 (자카르타)</t>
        </is>
      </c>
      <c r="I54" s="44" t="inlineStr">
        <is>
          <t>탄중프리옥항 (Tanjung Priok) (IDJKT)</t>
        </is>
      </c>
      <c r="J54" s="51" t="n">
        <v>0.15</v>
      </c>
      <c r="K54" s="51" t="n">
        <v>0.15</v>
      </c>
      <c r="L54" s="43" t="inlineStr">
        <is>
          <t>N</t>
        </is>
      </c>
      <c r="M54" s="45" t="inlineStr">
        <is>
          <t>-</t>
        </is>
      </c>
      <c r="N54" s="51" t="n">
        <v>0</v>
      </c>
      <c r="O54" s="52">
        <f>IF(L54="Y",K54,J54)+N54</f>
        <v/>
      </c>
      <c r="P54" s="45" t="inlineStr">
        <is>
          <t>WTO/WITS 일반 MFN 세율 적용</t>
        </is>
      </c>
    </row>
    <row r="55" ht="15" customHeight="1" s="32">
      <c r="A55" s="37" t="inlineStr">
        <is>
          <t>GI</t>
        </is>
      </c>
      <c r="B55" s="37" t="inlineStr">
        <is>
          <t>Steel</t>
        </is>
      </c>
      <c r="C55" s="39" t="inlineStr">
        <is>
          <t>GI (용융아연도금강판)</t>
        </is>
      </c>
      <c r="D55" s="37" t="inlineStr">
        <is>
          <t>HS 7210.49</t>
        </is>
      </c>
      <c r="E55" s="37" t="inlineStr">
        <is>
          <t>US</t>
        </is>
      </c>
      <c r="F55" s="38" t="inlineStr">
        <is>
          <t>미국</t>
        </is>
      </c>
      <c r="G55" s="37" t="inlineStr">
        <is>
          <t>SA</t>
        </is>
      </c>
      <c r="H55" s="38" t="inlineStr">
        <is>
          <t>사우디 (제다)</t>
        </is>
      </c>
      <c r="I55" s="38" t="inlineStr">
        <is>
          <t>제다 이슬람항 (Jeddah Islamic Port) (SAJED)</t>
        </is>
      </c>
      <c r="J55" s="49" t="n">
        <v>0.1</v>
      </c>
      <c r="K55" s="49" t="n">
        <v>0.1</v>
      </c>
      <c r="L55" s="37" t="inlineStr">
        <is>
          <t>N</t>
        </is>
      </c>
      <c r="M55" s="39" t="inlineStr">
        <is>
          <t>-</t>
        </is>
      </c>
      <c r="N55" s="49" t="n">
        <v>0</v>
      </c>
      <c r="O55" s="50">
        <f>IF(L55="Y",K55,J55)+N55</f>
        <v/>
      </c>
      <c r="P55" s="38" t="inlineStr">
        <is>
          <t>제다 이슬람항 통관: 사우디 ZATCA 철강재 관세 10%</t>
        </is>
      </c>
    </row>
    <row r="56" ht="15" customHeight="1" s="32">
      <c r="A56" s="43" t="inlineStr">
        <is>
          <t>GI</t>
        </is>
      </c>
      <c r="B56" s="43" t="inlineStr">
        <is>
          <t>Steel</t>
        </is>
      </c>
      <c r="C56" s="45" t="inlineStr">
        <is>
          <t>GI (용융아연도금강판)</t>
        </is>
      </c>
      <c r="D56" s="43" t="inlineStr">
        <is>
          <t>HS 7210.49</t>
        </is>
      </c>
      <c r="E56" s="43" t="inlineStr">
        <is>
          <t>US</t>
        </is>
      </c>
      <c r="F56" s="44" t="inlineStr">
        <is>
          <t>미국</t>
        </is>
      </c>
      <c r="G56" s="43" t="inlineStr">
        <is>
          <t>BR</t>
        </is>
      </c>
      <c r="H56" s="44" t="inlineStr">
        <is>
          <t>브라질 (마나우스)</t>
        </is>
      </c>
      <c r="I56" s="44" t="inlineStr">
        <is>
          <t>마나우스항 (Porto de Manaus / Chibatao) (BRMAO)</t>
        </is>
      </c>
      <c r="J56" s="51" t="n">
        <v>0.144</v>
      </c>
      <c r="K56" s="51" t="n">
        <v>0.144</v>
      </c>
      <c r="L56" s="43" t="inlineStr">
        <is>
          <t>N</t>
        </is>
      </c>
      <c r="M56" s="45" t="inlineStr">
        <is>
          <t>-</t>
        </is>
      </c>
      <c r="N56" s="51" t="n">
        <v>0</v>
      </c>
      <c r="O56" s="52">
        <f>IF(L56="Y",K56,J56)+N56</f>
        <v/>
      </c>
      <c r="P56" s="44" t="inlineStr">
        <is>
          <t>마나우스항 통관: 중국·인도산 AD 미대상 (마나우스 자유무역지대 ZFM 88% 감면 시 1.73%)</t>
        </is>
      </c>
    </row>
    <row r="57" ht="15" customHeight="1" s="32">
      <c r="A57" s="37" t="inlineStr">
        <is>
          <t>GI</t>
        </is>
      </c>
      <c r="B57" s="37" t="inlineStr">
        <is>
          <t>Steel</t>
        </is>
      </c>
      <c r="C57" s="39" t="inlineStr">
        <is>
          <t>GI (용융아연도금강판)</t>
        </is>
      </c>
      <c r="D57" s="37" t="inlineStr">
        <is>
          <t>HS 7210.49</t>
        </is>
      </c>
      <c r="E57" s="37" t="inlineStr">
        <is>
          <t>US</t>
        </is>
      </c>
      <c r="F57" s="38" t="inlineStr">
        <is>
          <t>미국</t>
        </is>
      </c>
      <c r="G57" s="37" t="inlineStr">
        <is>
          <t>EG</t>
        </is>
      </c>
      <c r="H57" s="38" t="inlineStr">
        <is>
          <t>이집트 (카이로)</t>
        </is>
      </c>
      <c r="I57" s="38" t="inlineStr">
        <is>
          <t>아인소크나항 (Ain Sokhna) / 알렉산드리아항 (EGSOK / EGALY)</t>
        </is>
      </c>
      <c r="J57" s="49" t="n">
        <v>0.12</v>
      </c>
      <c r="K57" s="49" t="n">
        <v>0.12</v>
      </c>
      <c r="L57" s="37" t="inlineStr">
        <is>
          <t>N</t>
        </is>
      </c>
      <c r="M57" s="39" t="inlineStr">
        <is>
          <t>-</t>
        </is>
      </c>
      <c r="N57" s="49" t="n">
        <v>0</v>
      </c>
      <c r="O57" s="50">
        <f>IF(L57="Y",K57,J57)+N57</f>
        <v/>
      </c>
      <c r="P57" s="38" t="inlineStr">
        <is>
          <t>알렉산드리아항(EGALY)-&gt;카이로: 이집트 HS 7210 도금/도장강판 기본 MFN 12% 적용</t>
        </is>
      </c>
    </row>
    <row r="58" ht="15" customHeight="1" s="32">
      <c r="A58" s="43" t="inlineStr">
        <is>
          <t>GI</t>
        </is>
      </c>
      <c r="B58" s="43" t="inlineStr">
        <is>
          <t>Steel</t>
        </is>
      </c>
      <c r="C58" s="45" t="inlineStr">
        <is>
          <t>GI (용융아연도금강판)</t>
        </is>
      </c>
      <c r="D58" s="43" t="inlineStr">
        <is>
          <t>HS 7210.49</t>
        </is>
      </c>
      <c r="E58" s="43" t="inlineStr">
        <is>
          <t>US</t>
        </is>
      </c>
      <c r="F58" s="44" t="inlineStr">
        <is>
          <t>미국</t>
        </is>
      </c>
      <c r="G58" s="43" t="inlineStr">
        <is>
          <t>US</t>
        </is>
      </c>
      <c r="H58" s="44" t="inlineStr">
        <is>
          <t>미국 (클락스빌)</t>
        </is>
      </c>
      <c r="I58" s="44" t="inlineStr">
        <is>
          <t>서배너항 (Savannah) / 찰스턴항 + 철도Ramp (USSAV / USCHS)</t>
        </is>
      </c>
      <c r="J58" s="51" t="n">
        <v>0</v>
      </c>
      <c r="K58" s="51" t="n">
        <v>0</v>
      </c>
      <c r="L58" s="43" t="inlineStr">
        <is>
          <t>N</t>
        </is>
      </c>
      <c r="M58" s="44" t="inlineStr">
        <is>
          <t>내수 조달 (관세 없음)</t>
        </is>
      </c>
      <c r="N58" s="51" t="n">
        <v>0</v>
      </c>
      <c r="O58" s="52">
        <f>IF(L58="Y",K58,J58)+N58</f>
        <v/>
      </c>
      <c r="P58" s="44" t="inlineStr">
        <is>
          <t>동일 국가 내 조달 (클락스빌 (Clarksville, TN) 직송, 수입관세 면제)</t>
        </is>
      </c>
    </row>
    <row r="59" ht="15" customHeight="1" s="32">
      <c r="A59" s="37" t="inlineStr">
        <is>
          <t>GI</t>
        </is>
      </c>
      <c r="B59" s="37" t="inlineStr">
        <is>
          <t>Steel</t>
        </is>
      </c>
      <c r="C59" s="39" t="inlineStr">
        <is>
          <t>GI (용융아연도금강판)</t>
        </is>
      </c>
      <c r="D59" s="37" t="inlineStr">
        <is>
          <t>HS 7210.49</t>
        </is>
      </c>
      <c r="E59" s="37" t="inlineStr">
        <is>
          <t>US</t>
        </is>
      </c>
      <c r="F59" s="38" t="inlineStr">
        <is>
          <t>미국</t>
        </is>
      </c>
      <c r="G59" s="37" t="inlineStr">
        <is>
          <t>NO</t>
        </is>
      </c>
      <c r="H59" s="38" t="inlineStr">
        <is>
          <t>노르웨이 (오슬로)</t>
        </is>
      </c>
      <c r="I59" s="38" t="inlineStr">
        <is>
          <t>오슬로항 (Port of Oslo) (NOOSL)</t>
        </is>
      </c>
      <c r="J59" s="49" t="n">
        <v>0</v>
      </c>
      <c r="K59" s="49" t="n">
        <v>0</v>
      </c>
      <c r="L59" s="37" t="inlineStr">
        <is>
          <t>N</t>
        </is>
      </c>
      <c r="M59" s="38" t="inlineStr">
        <is>
          <t>노르웨이 공산품 무관세 (한-EFTA 등)</t>
        </is>
      </c>
      <c r="N59" s="49" t="n">
        <v>0</v>
      </c>
      <c r="O59" s="50">
        <f>IF(L59="Y",K59,J59)+N59</f>
        <v/>
      </c>
      <c r="P59" s="38" t="inlineStr">
        <is>
          <t>오슬로항(NOOSL) 통관: 노르웨이 관세청(Tolltariffen) 철강·합성수지 전 품목 MFN 0% 무관세</t>
        </is>
      </c>
    </row>
    <row r="60" ht="15" customHeight="1" s="32">
      <c r="A60" s="43" t="inlineStr">
        <is>
          <t>PCM</t>
        </is>
      </c>
      <c r="B60" s="43" t="inlineStr">
        <is>
          <t>Steel</t>
        </is>
      </c>
      <c r="C60" s="45" t="inlineStr">
        <is>
          <t>PCM (컬러강판/도장강판)</t>
        </is>
      </c>
      <c r="D60" s="43" t="inlineStr">
        <is>
          <t>HS 7210.70</t>
        </is>
      </c>
      <c r="E60" s="43" t="inlineStr">
        <is>
          <t>KR</t>
        </is>
      </c>
      <c r="F60" s="44" t="inlineStr">
        <is>
          <t>한국</t>
        </is>
      </c>
      <c r="G60" s="43" t="inlineStr">
        <is>
          <t>KR</t>
        </is>
      </c>
      <c r="H60" s="44" t="inlineStr">
        <is>
          <t>한국 (부산)</t>
        </is>
      </c>
      <c r="I60" s="44" t="inlineStr">
        <is>
          <t>부산항 (Port of Busan) (KRPUS)</t>
        </is>
      </c>
      <c r="J60" s="51" t="n">
        <v>0</v>
      </c>
      <c r="K60" s="51" t="n">
        <v>0</v>
      </c>
      <c r="L60" s="43" t="inlineStr">
        <is>
          <t>N</t>
        </is>
      </c>
      <c r="M60" s="44" t="inlineStr">
        <is>
          <t>내수 조달 (관세 없음)</t>
        </is>
      </c>
      <c r="N60" s="51" t="n">
        <v>0</v>
      </c>
      <c r="O60" s="52">
        <f>IF(L60="Y",K60,J60)+N60</f>
        <v/>
      </c>
      <c r="P60" s="44" t="inlineStr">
        <is>
          <t>동일 국가 내 조달 (부산 (Busan) 직송, 수입관세 면제)</t>
        </is>
      </c>
    </row>
    <row r="61" ht="15" customHeight="1" s="32">
      <c r="A61" s="37" t="inlineStr">
        <is>
          <t>PCM</t>
        </is>
      </c>
      <c r="B61" s="37" t="inlineStr">
        <is>
          <t>Steel</t>
        </is>
      </c>
      <c r="C61" s="39" t="inlineStr">
        <is>
          <t>PCM (컬러강판/도장강판)</t>
        </is>
      </c>
      <c r="D61" s="37" t="inlineStr">
        <is>
          <t>HS 7210.70</t>
        </is>
      </c>
      <c r="E61" s="37" t="inlineStr">
        <is>
          <t>KR</t>
        </is>
      </c>
      <c r="F61" s="38" t="inlineStr">
        <is>
          <t>한국</t>
        </is>
      </c>
      <c r="G61" s="37" t="inlineStr">
        <is>
          <t>CN</t>
        </is>
      </c>
      <c r="H61" s="38" t="inlineStr">
        <is>
          <t>중국 (천진)</t>
        </is>
      </c>
      <c r="I61" s="38" t="inlineStr">
        <is>
          <t>천진 신강항 (Tianjin Xingang) (CNTSN)</t>
        </is>
      </c>
      <c r="J61" s="49" t="n">
        <v>0.04</v>
      </c>
      <c r="K61" s="49" t="n">
        <v>0.025</v>
      </c>
      <c r="L61" s="37" t="inlineStr">
        <is>
          <t>Y</t>
        </is>
      </c>
      <c r="M61" s="39" t="inlineStr">
        <is>
          <t>RCEP 양허</t>
        </is>
      </c>
      <c r="N61" s="49" t="n">
        <v>0</v>
      </c>
      <c r="O61" s="50">
        <f>IF(L61="Y",K61,J61)+N61</f>
        <v/>
      </c>
      <c r="P61" s="38" t="inlineStr">
        <is>
          <t>천진 신강항(CNTSN) 통관: RCEP 및 중-아세안 양허세율 적용</t>
        </is>
      </c>
    </row>
    <row r="62" ht="15" customHeight="1" s="32">
      <c r="A62" s="43" t="inlineStr">
        <is>
          <t>PCM</t>
        </is>
      </c>
      <c r="B62" s="43" t="inlineStr">
        <is>
          <t>Steel</t>
        </is>
      </c>
      <c r="C62" s="45" t="inlineStr">
        <is>
          <t>PCM (컬러강판/도장강판)</t>
        </is>
      </c>
      <c r="D62" s="43" t="inlineStr">
        <is>
          <t>HS 7210.70</t>
        </is>
      </c>
      <c r="E62" s="43" t="inlineStr">
        <is>
          <t>KR</t>
        </is>
      </c>
      <c r="F62" s="44" t="inlineStr">
        <is>
          <t>한국</t>
        </is>
      </c>
      <c r="G62" s="43" t="inlineStr">
        <is>
          <t>IN_NOI</t>
        </is>
      </c>
      <c r="H62" s="44" t="inlineStr">
        <is>
          <t>인도 (노이다)</t>
        </is>
      </c>
      <c r="I62" s="44" t="inlineStr">
        <is>
          <t>문드라항 (Mundra) + ICD 다드리 (INMUN-&gt;INDAD)</t>
        </is>
      </c>
      <c r="J62" s="51" t="n">
        <v>0.11</v>
      </c>
      <c r="K62" s="51" t="n">
        <v>0</v>
      </c>
      <c r="L62" s="43" t="inlineStr">
        <is>
          <t>Y</t>
        </is>
      </c>
      <c r="M62" s="44" t="inlineStr">
        <is>
          <t>한-인도 CEPA</t>
        </is>
      </c>
      <c r="N62" s="51" t="n">
        <v>0</v>
      </c>
      <c r="O62" s="52">
        <f>IF(L62="Y",K62,J62)+N62</f>
        <v/>
      </c>
      <c r="P62" s="44" t="inlineStr">
        <is>
          <t>문드라항-&gt;ICD 다드리(노이다) 통관: 한-인도 CEPA 철강 0% 양허 (BIS 인증 필수)</t>
        </is>
      </c>
    </row>
    <row r="63" ht="15" customHeight="1" s="32">
      <c r="A63" s="37" t="inlineStr">
        <is>
          <t>PCM</t>
        </is>
      </c>
      <c r="B63" s="37" t="inlineStr">
        <is>
          <t>Steel</t>
        </is>
      </c>
      <c r="C63" s="39" t="inlineStr">
        <is>
          <t>PCM (컬러강판/도장강판)</t>
        </is>
      </c>
      <c r="D63" s="37" t="inlineStr">
        <is>
          <t>HS 7210.70</t>
        </is>
      </c>
      <c r="E63" s="37" t="inlineStr">
        <is>
          <t>KR</t>
        </is>
      </c>
      <c r="F63" s="38" t="inlineStr">
        <is>
          <t>한국</t>
        </is>
      </c>
      <c r="G63" s="37" t="inlineStr">
        <is>
          <t>IN_PUN</t>
        </is>
      </c>
      <c r="H63" s="38" t="inlineStr">
        <is>
          <t>인도 (푸네)</t>
        </is>
      </c>
      <c r="I63" s="38" t="inlineStr">
        <is>
          <t>나바셰바항 (JNPT Mumbai) (INNSA)</t>
        </is>
      </c>
      <c r="J63" s="49" t="n">
        <v>0.11</v>
      </c>
      <c r="K63" s="49" t="n">
        <v>0</v>
      </c>
      <c r="L63" s="37" t="inlineStr">
        <is>
          <t>Y</t>
        </is>
      </c>
      <c r="M63" s="38" t="inlineStr">
        <is>
          <t>한-인도 CEPA</t>
        </is>
      </c>
      <c r="N63" s="49" t="n">
        <v>0</v>
      </c>
      <c r="O63" s="50">
        <f>IF(L63="Y",K63,J63)+N63</f>
        <v/>
      </c>
      <c r="P63" s="38" t="inlineStr">
        <is>
          <t>나바셰바항(푸네) 통관: 한-인도 CEPA 철강 0% 양허 (BIS 인증 필수)</t>
        </is>
      </c>
    </row>
    <row r="64" ht="15" customHeight="1" s="32">
      <c r="A64" s="43" t="inlineStr">
        <is>
          <t>PCM</t>
        </is>
      </c>
      <c r="B64" s="43" t="inlineStr">
        <is>
          <t>Steel</t>
        </is>
      </c>
      <c r="C64" s="45" t="inlineStr">
        <is>
          <t>PCM (컬러강판/도장강판)</t>
        </is>
      </c>
      <c r="D64" s="43" t="inlineStr">
        <is>
          <t>HS 7210.70</t>
        </is>
      </c>
      <c r="E64" s="43" t="inlineStr">
        <is>
          <t>KR</t>
        </is>
      </c>
      <c r="F64" s="44" t="inlineStr">
        <is>
          <t>한국</t>
        </is>
      </c>
      <c r="G64" s="43" t="inlineStr">
        <is>
          <t>TH</t>
        </is>
      </c>
      <c r="H64" s="44" t="inlineStr">
        <is>
          <t>태국 (람차방)</t>
        </is>
      </c>
      <c r="I64" s="44" t="inlineStr">
        <is>
          <t>람차방항 (Laem Chabang) (THLCH)</t>
        </is>
      </c>
      <c r="J64" s="51" t="n">
        <v>0.07000000000000001</v>
      </c>
      <c r="K64" s="51" t="n">
        <v>0</v>
      </c>
      <c r="L64" s="43" t="inlineStr">
        <is>
          <t>Y</t>
        </is>
      </c>
      <c r="M64" s="44" t="inlineStr">
        <is>
          <t>한-ASEAN FTA / RCEP</t>
        </is>
      </c>
      <c r="N64" s="51" t="n">
        <v>0.12</v>
      </c>
      <c r="O64" s="52">
        <f>IF(L64="Y",K64,J64)+N64</f>
        <v/>
      </c>
      <c r="P64" s="44" t="inlineStr">
        <is>
          <t>람차방항 통관: 한-아세안 기본 0%이나 태국 도금/도장강판 반덤핑(AD) 평균율 유의</t>
        </is>
      </c>
    </row>
    <row r="65" ht="15" customHeight="1" s="32">
      <c r="A65" s="37" t="inlineStr">
        <is>
          <t>PCM</t>
        </is>
      </c>
      <c r="B65" s="37" t="inlineStr">
        <is>
          <t>Steel</t>
        </is>
      </c>
      <c r="C65" s="39" t="inlineStr">
        <is>
          <t>PCM (컬러강판/도장강판)</t>
        </is>
      </c>
      <c r="D65" s="37" t="inlineStr">
        <is>
          <t>HS 7210.70</t>
        </is>
      </c>
      <c r="E65" s="37" t="inlineStr">
        <is>
          <t>KR</t>
        </is>
      </c>
      <c r="F65" s="38" t="inlineStr">
        <is>
          <t>한국</t>
        </is>
      </c>
      <c r="G65" s="37" t="inlineStr">
        <is>
          <t>ID</t>
        </is>
      </c>
      <c r="H65" s="38" t="inlineStr">
        <is>
          <t>인니 (자카르타)</t>
        </is>
      </c>
      <c r="I65" s="38" t="inlineStr">
        <is>
          <t>탄중프리옥항 (Tanjung Priok) (IDJKT)</t>
        </is>
      </c>
      <c r="J65" s="49" t="n">
        <v>0.15</v>
      </c>
      <c r="K65" s="49" t="n">
        <v>0</v>
      </c>
      <c r="L65" s="37" t="inlineStr">
        <is>
          <t>Y</t>
        </is>
      </c>
      <c r="M65" s="38" t="inlineStr">
        <is>
          <t>한-인니 CEPA (IK-CEPA)</t>
        </is>
      </c>
      <c r="N65" s="49" t="n">
        <v>0.055</v>
      </c>
      <c r="O65" s="50">
        <f>IF(L65="Y",K65,J65)+N65</f>
        <v/>
      </c>
      <c r="P65" s="38" t="inlineStr">
        <is>
          <t>탄중프리옥항 통관: IK-CEPA 0% 양허 (일부 도금강판 세이프가드/SNI 반영)</t>
        </is>
      </c>
    </row>
    <row r="66" ht="15" customHeight="1" s="32">
      <c r="A66" s="43" t="inlineStr">
        <is>
          <t>PCM</t>
        </is>
      </c>
      <c r="B66" s="43" t="inlineStr">
        <is>
          <t>Steel</t>
        </is>
      </c>
      <c r="C66" s="45" t="inlineStr">
        <is>
          <t>PCM (컬러강판/도장강판)</t>
        </is>
      </c>
      <c r="D66" s="43" t="inlineStr">
        <is>
          <t>HS 7210.70</t>
        </is>
      </c>
      <c r="E66" s="43" t="inlineStr">
        <is>
          <t>KR</t>
        </is>
      </c>
      <c r="F66" s="44" t="inlineStr">
        <is>
          <t>한국</t>
        </is>
      </c>
      <c r="G66" s="43" t="inlineStr">
        <is>
          <t>SA</t>
        </is>
      </c>
      <c r="H66" s="44" t="inlineStr">
        <is>
          <t>사우디 (제다)</t>
        </is>
      </c>
      <c r="I66" s="44" t="inlineStr">
        <is>
          <t>제다 이슬람항 (Jeddah Islamic Port) (SAJED)</t>
        </is>
      </c>
      <c r="J66" s="51" t="n">
        <v>0.1</v>
      </c>
      <c r="K66" s="51" t="n">
        <v>0.05</v>
      </c>
      <c r="L66" s="43" t="inlineStr">
        <is>
          <t>Y</t>
        </is>
      </c>
      <c r="M66" s="44" t="inlineStr">
        <is>
          <t>한-GCC FTA</t>
        </is>
      </c>
      <c r="N66" s="51" t="n">
        <v>0</v>
      </c>
      <c r="O66" s="52">
        <f>IF(L66="Y",K66,J66)+N66</f>
        <v/>
      </c>
      <c r="P66" s="44" t="inlineStr">
        <is>
          <t>제다 이슬람항 통관: 사우디 철강 보호관세(10%) 대비 한-GCC FTA 혜택</t>
        </is>
      </c>
    </row>
    <row r="67" ht="15" customHeight="1" s="32">
      <c r="A67" s="37" t="inlineStr">
        <is>
          <t>PCM</t>
        </is>
      </c>
      <c r="B67" s="37" t="inlineStr">
        <is>
          <t>Steel</t>
        </is>
      </c>
      <c r="C67" s="39" t="inlineStr">
        <is>
          <t>PCM (컬러강판/도장강판)</t>
        </is>
      </c>
      <c r="D67" s="37" t="inlineStr">
        <is>
          <t>HS 7210.70</t>
        </is>
      </c>
      <c r="E67" s="37" t="inlineStr">
        <is>
          <t>KR</t>
        </is>
      </c>
      <c r="F67" s="38" t="inlineStr">
        <is>
          <t>한국</t>
        </is>
      </c>
      <c r="G67" s="37" t="inlineStr">
        <is>
          <t>BR</t>
        </is>
      </c>
      <c r="H67" s="38" t="inlineStr">
        <is>
          <t>브라질 (마나우스)</t>
        </is>
      </c>
      <c r="I67" s="38" t="inlineStr">
        <is>
          <t>마나우스항 (Porto de Manaus / Chibatao) (BRMAO)</t>
        </is>
      </c>
      <c r="J67" s="49" t="n">
        <v>0.144</v>
      </c>
      <c r="K67" s="49" t="n">
        <v>0.144</v>
      </c>
      <c r="L67" s="37" t="inlineStr">
        <is>
          <t>N</t>
        </is>
      </c>
      <c r="M67" s="39" t="inlineStr">
        <is>
          <t>-</t>
        </is>
      </c>
      <c r="N67" s="49" t="n">
        <v>0</v>
      </c>
      <c r="O67" s="50">
        <f>IF(L67="Y",K67,J67)+N67</f>
        <v/>
      </c>
      <c r="P67" s="38" t="inlineStr">
        <is>
          <t>마나우스항 통관: 중국·인도산 AD 미대상 (마나우스 자유무역지대 ZFM 88% 감면 시 1.73%)</t>
        </is>
      </c>
    </row>
    <row r="68" ht="15" customHeight="1" s="32">
      <c r="A68" s="43" t="inlineStr">
        <is>
          <t>PCM</t>
        </is>
      </c>
      <c r="B68" s="43" t="inlineStr">
        <is>
          <t>Steel</t>
        </is>
      </c>
      <c r="C68" s="45" t="inlineStr">
        <is>
          <t>PCM (컬러강판/도장강판)</t>
        </is>
      </c>
      <c r="D68" s="43" t="inlineStr">
        <is>
          <t>HS 7210.70</t>
        </is>
      </c>
      <c r="E68" s="43" t="inlineStr">
        <is>
          <t>KR</t>
        </is>
      </c>
      <c r="F68" s="44" t="inlineStr">
        <is>
          <t>한국</t>
        </is>
      </c>
      <c r="G68" s="43" t="inlineStr">
        <is>
          <t>EG</t>
        </is>
      </c>
      <c r="H68" s="44" t="inlineStr">
        <is>
          <t>이집트 (카이로)</t>
        </is>
      </c>
      <c r="I68" s="44" t="inlineStr">
        <is>
          <t>아인소크나항 (Ain Sokhna) / 알렉산드리아항 (EGSOK / EGALY)</t>
        </is>
      </c>
      <c r="J68" s="51" t="n">
        <v>0.12</v>
      </c>
      <c r="K68" s="51" t="n">
        <v>0.12</v>
      </c>
      <c r="L68" s="43" t="inlineStr">
        <is>
          <t>N</t>
        </is>
      </c>
      <c r="M68" s="45" t="inlineStr">
        <is>
          <t>-</t>
        </is>
      </c>
      <c r="N68" s="51" t="n">
        <v>0</v>
      </c>
      <c r="O68" s="52">
        <f>IF(L68="Y",K68,J68)+N68</f>
        <v/>
      </c>
      <c r="P68" s="44" t="inlineStr">
        <is>
          <t>아인소크나항(EGSOK)-&gt;카이로: 이집트 HS 7210 도금/도장강판 기본 MFN 12% 적용</t>
        </is>
      </c>
    </row>
    <row r="69" ht="15" customHeight="1" s="32">
      <c r="A69" s="37" t="inlineStr">
        <is>
          <t>PCM</t>
        </is>
      </c>
      <c r="B69" s="37" t="inlineStr">
        <is>
          <t>Steel</t>
        </is>
      </c>
      <c r="C69" s="39" t="inlineStr">
        <is>
          <t>PCM (컬러강판/도장강판)</t>
        </is>
      </c>
      <c r="D69" s="37" t="inlineStr">
        <is>
          <t>HS 7210.70</t>
        </is>
      </c>
      <c r="E69" s="37" t="inlineStr">
        <is>
          <t>KR</t>
        </is>
      </c>
      <c r="F69" s="38" t="inlineStr">
        <is>
          <t>한국</t>
        </is>
      </c>
      <c r="G69" s="37" t="inlineStr">
        <is>
          <t>US</t>
        </is>
      </c>
      <c r="H69" s="38" t="inlineStr">
        <is>
          <t>미국 (클락스빌)</t>
        </is>
      </c>
      <c r="I69" s="38" t="inlineStr">
        <is>
          <t>서배너항 (Savannah) / 찰스턴항 + 철도Ramp (USSAV / USCHS)</t>
        </is>
      </c>
      <c r="J69" s="49" t="n">
        <v>0</v>
      </c>
      <c r="K69" s="49" t="n">
        <v>0</v>
      </c>
      <c r="L69" s="37" t="inlineStr">
        <is>
          <t>N</t>
        </is>
      </c>
      <c r="M69" s="39" t="inlineStr">
        <is>
          <t>KORUS (232조 별도)</t>
        </is>
      </c>
      <c r="N69" s="49" t="n">
        <v>0.552</v>
      </c>
      <c r="O69" s="50">
        <f>IF(L69="Y",K69,J69)+N69</f>
        <v/>
      </c>
      <c r="P69" s="38" t="inlineStr">
        <is>
          <t>서배너항-&gt;클락스빌: 미국 232조 철강 관세 50% + 한국산 도금강판(CORE) AD/CVD(~5.2%)</t>
        </is>
      </c>
    </row>
    <row r="70" ht="15" customHeight="1" s="32">
      <c r="A70" s="43" t="inlineStr">
        <is>
          <t>PCM</t>
        </is>
      </c>
      <c r="B70" s="43" t="inlineStr">
        <is>
          <t>Steel</t>
        </is>
      </c>
      <c r="C70" s="45" t="inlineStr">
        <is>
          <t>PCM (컬러강판/도장강판)</t>
        </is>
      </c>
      <c r="D70" s="43" t="inlineStr">
        <is>
          <t>HS 7210.70</t>
        </is>
      </c>
      <c r="E70" s="43" t="inlineStr">
        <is>
          <t>KR</t>
        </is>
      </c>
      <c r="F70" s="44" t="inlineStr">
        <is>
          <t>한국</t>
        </is>
      </c>
      <c r="G70" s="43" t="inlineStr">
        <is>
          <t>NO</t>
        </is>
      </c>
      <c r="H70" s="44" t="inlineStr">
        <is>
          <t>노르웨이 (오슬로)</t>
        </is>
      </c>
      <c r="I70" s="44" t="inlineStr">
        <is>
          <t>오슬로항 (Port of Oslo) (NOOSL)</t>
        </is>
      </c>
      <c r="J70" s="51" t="n">
        <v>0</v>
      </c>
      <c r="K70" s="51" t="n">
        <v>0</v>
      </c>
      <c r="L70" s="43" t="inlineStr">
        <is>
          <t>N</t>
        </is>
      </c>
      <c r="M70" s="44" t="inlineStr">
        <is>
          <t>노르웨이 공산품 무관세 (한-EFTA 등)</t>
        </is>
      </c>
      <c r="N70" s="51" t="n">
        <v>0</v>
      </c>
      <c r="O70" s="52">
        <f>IF(L70="Y",K70,J70)+N70</f>
        <v/>
      </c>
      <c r="P70" s="44" t="inlineStr">
        <is>
          <t>오슬로항(NOOSL) 통관: 노르웨이 관세청(Tolltariffen) 철강·합성수지 전 품목 MFN 0% 무관세</t>
        </is>
      </c>
    </row>
    <row r="71" ht="15" customHeight="1" s="32">
      <c r="A71" s="53" t="inlineStr">
        <is>
          <t>PCM</t>
        </is>
      </c>
      <c r="B71" s="53" t="inlineStr">
        <is>
          <t>Steel</t>
        </is>
      </c>
      <c r="C71" s="54" t="inlineStr">
        <is>
          <t>PCM (컬러강판/도장강판)</t>
        </is>
      </c>
      <c r="D71" s="53" t="inlineStr">
        <is>
          <t>HS 7210.70</t>
        </is>
      </c>
      <c r="E71" s="53" t="inlineStr">
        <is>
          <t>CN</t>
        </is>
      </c>
      <c r="F71" s="55" t="inlineStr">
        <is>
          <t>중국</t>
        </is>
      </c>
      <c r="G71" s="53" t="inlineStr">
        <is>
          <t>KR</t>
        </is>
      </c>
      <c r="H71" s="55" t="inlineStr">
        <is>
          <t>한국 (부산)</t>
        </is>
      </c>
      <c r="I71" s="55" t="inlineStr">
        <is>
          <t>부산항 (Port of Busan) (KRPUS)</t>
        </is>
      </c>
      <c r="J71" s="56" t="n">
        <v>0</v>
      </c>
      <c r="K71" s="56" t="n">
        <v>0</v>
      </c>
      <c r="L71" s="53" t="inlineStr">
        <is>
          <t>N</t>
        </is>
      </c>
      <c r="M71" s="54" t="inlineStr">
        <is>
          <t>WTO 철강 무관세</t>
        </is>
      </c>
      <c r="N71" s="57" t="n">
        <v>0.2575</v>
      </c>
      <c r="O71" s="57">
        <f>IF(L71="Y",K71,J71)+N71</f>
        <v/>
      </c>
      <c r="P71" s="58" t="inlineStr">
        <is>
          <t>부산항 통관: 기본 0%이나 재정경제부고시 제2026-80호(2026.6.12 시행, 무역위 제472차 예비판정) 중국산 도금(GI)·컬러강판(PCM) 잠정 반덤핑관세 22.34~33.67% (바오터우 22.34%, 수강징탕 26.28%, 윈스톤 33.67%, 기타공급자 25.75%) 부과</t>
        </is>
      </c>
    </row>
    <row r="72" ht="15" customHeight="1" s="32">
      <c r="A72" s="43" t="inlineStr">
        <is>
          <t>PCM</t>
        </is>
      </c>
      <c r="B72" s="43" t="inlineStr">
        <is>
          <t>Steel</t>
        </is>
      </c>
      <c r="C72" s="45" t="inlineStr">
        <is>
          <t>PCM (컬러강판/도장강판)</t>
        </is>
      </c>
      <c r="D72" s="43" t="inlineStr">
        <is>
          <t>HS 7210.70</t>
        </is>
      </c>
      <c r="E72" s="43" t="inlineStr">
        <is>
          <t>CN</t>
        </is>
      </c>
      <c r="F72" s="44" t="inlineStr">
        <is>
          <t>중국</t>
        </is>
      </c>
      <c r="G72" s="43" t="inlineStr">
        <is>
          <t>CN</t>
        </is>
      </c>
      <c r="H72" s="44" t="inlineStr">
        <is>
          <t>중국 (천진)</t>
        </is>
      </c>
      <c r="I72" s="44" t="inlineStr">
        <is>
          <t>천진 신강항 (Tianjin Xingang) (CNTSN)</t>
        </is>
      </c>
      <c r="J72" s="51" t="n">
        <v>0</v>
      </c>
      <c r="K72" s="51" t="n">
        <v>0</v>
      </c>
      <c r="L72" s="43" t="inlineStr">
        <is>
          <t>N</t>
        </is>
      </c>
      <c r="M72" s="44" t="inlineStr">
        <is>
          <t>내수 조달 (관세 없음)</t>
        </is>
      </c>
      <c r="N72" s="51" t="n">
        <v>0</v>
      </c>
      <c r="O72" s="52">
        <f>IF(L72="Y",K72,J72)+N72</f>
        <v/>
      </c>
      <c r="P72" s="44" t="inlineStr">
        <is>
          <t>동일 국가 내 조달 (천진 (Tianjin) 직송, 수입관세 면제)</t>
        </is>
      </c>
    </row>
    <row r="73" ht="15" customHeight="1" s="32">
      <c r="A73" s="37" t="inlineStr">
        <is>
          <t>PCM</t>
        </is>
      </c>
      <c r="B73" s="37" t="inlineStr">
        <is>
          <t>Steel</t>
        </is>
      </c>
      <c r="C73" s="39" t="inlineStr">
        <is>
          <t>PCM (컬러강판/도장강판)</t>
        </is>
      </c>
      <c r="D73" s="37" t="inlineStr">
        <is>
          <t>HS 7210.70</t>
        </is>
      </c>
      <c r="E73" s="37" t="inlineStr">
        <is>
          <t>CN</t>
        </is>
      </c>
      <c r="F73" s="38" t="inlineStr">
        <is>
          <t>중국</t>
        </is>
      </c>
      <c r="G73" s="37" t="inlineStr">
        <is>
          <t>IN_NOI</t>
        </is>
      </c>
      <c r="H73" s="38" t="inlineStr">
        <is>
          <t>인도 (노이다)</t>
        </is>
      </c>
      <c r="I73" s="38" t="inlineStr">
        <is>
          <t>문드라항 (Mundra) + ICD 다드리 (INMUN-&gt;INDAD)</t>
        </is>
      </c>
      <c r="J73" s="49" t="n">
        <v>0.11</v>
      </c>
      <c r="K73" s="49" t="n">
        <v>0.11</v>
      </c>
      <c r="L73" s="37" t="inlineStr">
        <is>
          <t>N</t>
        </is>
      </c>
      <c r="M73" s="39" t="inlineStr">
        <is>
          <t>-</t>
        </is>
      </c>
      <c r="N73" s="49" t="n">
        <v>0.185</v>
      </c>
      <c r="O73" s="50">
        <f>IF(L73="Y",K73,J73)+N73</f>
        <v/>
      </c>
      <c r="P73" s="38" t="inlineStr">
        <is>
          <t>문드라항-&gt;ICD 다드리(노이다) 통관: 중국산 도금/컬러강판 인도 반덤핑(AD)·세이프가드 부과</t>
        </is>
      </c>
    </row>
    <row r="74" ht="15" customHeight="1" s="32">
      <c r="A74" s="43" t="inlineStr">
        <is>
          <t>PCM</t>
        </is>
      </c>
      <c r="B74" s="43" t="inlineStr">
        <is>
          <t>Steel</t>
        </is>
      </c>
      <c r="C74" s="45" t="inlineStr">
        <is>
          <t>PCM (컬러강판/도장강판)</t>
        </is>
      </c>
      <c r="D74" s="43" t="inlineStr">
        <is>
          <t>HS 7210.70</t>
        </is>
      </c>
      <c r="E74" s="43" t="inlineStr">
        <is>
          <t>CN</t>
        </is>
      </c>
      <c r="F74" s="44" t="inlineStr">
        <is>
          <t>중국</t>
        </is>
      </c>
      <c r="G74" s="43" t="inlineStr">
        <is>
          <t>IN_PUN</t>
        </is>
      </c>
      <c r="H74" s="44" t="inlineStr">
        <is>
          <t>인도 (푸네)</t>
        </is>
      </c>
      <c r="I74" s="44" t="inlineStr">
        <is>
          <t>나바셰바항 (JNPT Mumbai) (INNSA)</t>
        </is>
      </c>
      <c r="J74" s="51" t="n">
        <v>0.11</v>
      </c>
      <c r="K74" s="51" t="n">
        <v>0.11</v>
      </c>
      <c r="L74" s="43" t="inlineStr">
        <is>
          <t>N</t>
        </is>
      </c>
      <c r="M74" s="45" t="inlineStr">
        <is>
          <t>-</t>
        </is>
      </c>
      <c r="N74" s="51" t="n">
        <v>0.185</v>
      </c>
      <c r="O74" s="52">
        <f>IF(L74="Y",K74,J74)+N74</f>
        <v/>
      </c>
      <c r="P74" s="44" t="inlineStr">
        <is>
          <t>나바셰바항(푸네) 통관: 중국산 도금/컬러강판 인도 반덤핑(AD)·세이프가드 부과</t>
        </is>
      </c>
    </row>
    <row r="75" ht="15" customHeight="1" s="32">
      <c r="A75" s="37" t="inlineStr">
        <is>
          <t>PCM</t>
        </is>
      </c>
      <c r="B75" s="37" t="inlineStr">
        <is>
          <t>Steel</t>
        </is>
      </c>
      <c r="C75" s="39" t="inlineStr">
        <is>
          <t>PCM (컬러강판/도장강판)</t>
        </is>
      </c>
      <c r="D75" s="37" t="inlineStr">
        <is>
          <t>HS 7210.70</t>
        </is>
      </c>
      <c r="E75" s="37" t="inlineStr">
        <is>
          <t>CN</t>
        </is>
      </c>
      <c r="F75" s="38" t="inlineStr">
        <is>
          <t>중국</t>
        </is>
      </c>
      <c r="G75" s="37" t="inlineStr">
        <is>
          <t>TH</t>
        </is>
      </c>
      <c r="H75" s="38" t="inlineStr">
        <is>
          <t>태국 (람차방)</t>
        </is>
      </c>
      <c r="I75" s="38" t="inlineStr">
        <is>
          <t>람차방항 (Laem Chabang) (THLCH)</t>
        </is>
      </c>
      <c r="J75" s="49" t="n">
        <v>0.07000000000000001</v>
      </c>
      <c r="K75" s="49" t="n">
        <v>0</v>
      </c>
      <c r="L75" s="37" t="inlineStr">
        <is>
          <t>Y</t>
        </is>
      </c>
      <c r="M75" s="38" t="inlineStr">
        <is>
          <t>중-ASEAN FTA</t>
        </is>
      </c>
      <c r="N75" s="49" t="n">
        <v>0.298</v>
      </c>
      <c r="O75" s="50">
        <f>IF(L75="Y",K75,J75)+N75</f>
        <v/>
      </c>
      <c r="P75" s="38" t="inlineStr">
        <is>
          <t>람차방항(THLCH) 통관: 태국 DFT 중국산 GI/PCM 반덤핑 관세(26~42%) 부과</t>
        </is>
      </c>
    </row>
    <row r="76" ht="15" customHeight="1" s="32">
      <c r="A76" s="43" t="inlineStr">
        <is>
          <t>PCM</t>
        </is>
      </c>
      <c r="B76" s="43" t="inlineStr">
        <is>
          <t>Steel</t>
        </is>
      </c>
      <c r="C76" s="45" t="inlineStr">
        <is>
          <t>PCM (컬러강판/도장강판)</t>
        </is>
      </c>
      <c r="D76" s="43" t="inlineStr">
        <is>
          <t>HS 7210.70</t>
        </is>
      </c>
      <c r="E76" s="43" t="inlineStr">
        <is>
          <t>CN</t>
        </is>
      </c>
      <c r="F76" s="44" t="inlineStr">
        <is>
          <t>중국</t>
        </is>
      </c>
      <c r="G76" s="43" t="inlineStr">
        <is>
          <t>ID</t>
        </is>
      </c>
      <c r="H76" s="44" t="inlineStr">
        <is>
          <t>인니 (자카르타)</t>
        </is>
      </c>
      <c r="I76" s="44" t="inlineStr">
        <is>
          <t>탄중프리옥항 (Tanjung Priok) (IDJKT)</t>
        </is>
      </c>
      <c r="J76" s="51" t="n">
        <v>0.15</v>
      </c>
      <c r="K76" s="51" t="n">
        <v>0.05</v>
      </c>
      <c r="L76" s="43" t="inlineStr">
        <is>
          <t>Y</t>
        </is>
      </c>
      <c r="M76" s="44" t="inlineStr">
        <is>
          <t>중-ASEAN FTA</t>
        </is>
      </c>
      <c r="N76" s="51" t="n">
        <v>0.18</v>
      </c>
      <c r="O76" s="52">
        <f>IF(L76="Y",K76,J76)+N76</f>
        <v/>
      </c>
      <c r="P76" s="44" t="inlineStr">
        <is>
          <t>탄중프리옥항 통관: 인니 KADI 중국산 도금·컬러강판 반덤핑(BMAD) 부과</t>
        </is>
      </c>
    </row>
    <row r="77" ht="15" customHeight="1" s="32">
      <c r="A77" s="37" t="inlineStr">
        <is>
          <t>PCM</t>
        </is>
      </c>
      <c r="B77" s="37" t="inlineStr">
        <is>
          <t>Steel</t>
        </is>
      </c>
      <c r="C77" s="39" t="inlineStr">
        <is>
          <t>PCM (컬러강판/도장강판)</t>
        </is>
      </c>
      <c r="D77" s="37" t="inlineStr">
        <is>
          <t>HS 7210.70</t>
        </is>
      </c>
      <c r="E77" s="37" t="inlineStr">
        <is>
          <t>CN</t>
        </is>
      </c>
      <c r="F77" s="38" t="inlineStr">
        <is>
          <t>중국</t>
        </is>
      </c>
      <c r="G77" s="37" t="inlineStr">
        <is>
          <t>SA</t>
        </is>
      </c>
      <c r="H77" s="38" t="inlineStr">
        <is>
          <t>사우디 (제다)</t>
        </is>
      </c>
      <c r="I77" s="38" t="inlineStr">
        <is>
          <t>제다 이슬람항 (Jeddah Islamic Port) (SAJED)</t>
        </is>
      </c>
      <c r="J77" s="49" t="n">
        <v>0.1</v>
      </c>
      <c r="K77" s="49" t="n">
        <v>0.1</v>
      </c>
      <c r="L77" s="37" t="inlineStr">
        <is>
          <t>N</t>
        </is>
      </c>
      <c r="M77" s="39" t="inlineStr">
        <is>
          <t>-</t>
        </is>
      </c>
      <c r="N77" s="49" t="n">
        <v>0</v>
      </c>
      <c r="O77" s="50">
        <f>IF(L77="Y",K77,J77)+N77</f>
        <v/>
      </c>
      <c r="P77" s="38" t="inlineStr">
        <is>
          <t>제다 이슬람항 통관: 사우디 ZATCA 철강재 관세 10%</t>
        </is>
      </c>
    </row>
    <row r="78" ht="15" customHeight="1" s="32">
      <c r="A78" s="43" t="inlineStr">
        <is>
          <t>PCM</t>
        </is>
      </c>
      <c r="B78" s="43" t="inlineStr">
        <is>
          <t>Steel</t>
        </is>
      </c>
      <c r="C78" s="45" t="inlineStr">
        <is>
          <t>PCM (컬러강판/도장강판)</t>
        </is>
      </c>
      <c r="D78" s="43" t="inlineStr">
        <is>
          <t>HS 7210.70</t>
        </is>
      </c>
      <c r="E78" s="43" t="inlineStr">
        <is>
          <t>CN</t>
        </is>
      </c>
      <c r="F78" s="44" t="inlineStr">
        <is>
          <t>중국</t>
        </is>
      </c>
      <c r="G78" s="43" t="inlineStr">
        <is>
          <t>BR</t>
        </is>
      </c>
      <c r="H78" s="44" t="inlineStr">
        <is>
          <t>브라질 (마나우스)</t>
        </is>
      </c>
      <c r="I78" s="44" t="inlineStr">
        <is>
          <t>마나우스항 (Porto de Manaus / Chibatao) (BRMAO)</t>
        </is>
      </c>
      <c r="J78" s="51" t="n">
        <v>0.144</v>
      </c>
      <c r="K78" s="51" t="n">
        <v>0.144</v>
      </c>
      <c r="L78" s="43" t="inlineStr">
        <is>
          <t>N</t>
        </is>
      </c>
      <c r="M78" s="45" t="inlineStr">
        <is>
          <t>-</t>
        </is>
      </c>
      <c r="N78" s="51" t="n">
        <v>0.425</v>
      </c>
      <c r="O78" s="52">
        <f>IF(L78="Y",K78,J78)+N78</f>
        <v/>
      </c>
      <c r="P78" s="44" t="inlineStr">
        <is>
          <t>마나우스항 통관: 브라질 Secex(2026.2) 중국산 GI($709/t)·PCM($289~545/t) 확정 AD 부과</t>
        </is>
      </c>
    </row>
    <row r="79" ht="15" customHeight="1" s="32">
      <c r="A79" s="37" t="inlineStr">
        <is>
          <t>PCM</t>
        </is>
      </c>
      <c r="B79" s="37" t="inlineStr">
        <is>
          <t>Steel</t>
        </is>
      </c>
      <c r="C79" s="39" t="inlineStr">
        <is>
          <t>PCM (컬러강판/도장강판)</t>
        </is>
      </c>
      <c r="D79" s="37" t="inlineStr">
        <is>
          <t>HS 7210.70</t>
        </is>
      </c>
      <c r="E79" s="37" t="inlineStr">
        <is>
          <t>CN</t>
        </is>
      </c>
      <c r="F79" s="38" t="inlineStr">
        <is>
          <t>중국</t>
        </is>
      </c>
      <c r="G79" s="37" t="inlineStr">
        <is>
          <t>EG</t>
        </is>
      </c>
      <c r="H79" s="38" t="inlineStr">
        <is>
          <t>이집트 (카이로)</t>
        </is>
      </c>
      <c r="I79" s="38" t="inlineStr">
        <is>
          <t>아인소크나항 (Ain Sokhna) / 알렉산드리아항 (EGSOK / EGALY)</t>
        </is>
      </c>
      <c r="J79" s="49" t="n">
        <v>0.12</v>
      </c>
      <c r="K79" s="49" t="n">
        <v>0.12</v>
      </c>
      <c r="L79" s="37" t="inlineStr">
        <is>
          <t>N</t>
        </is>
      </c>
      <c r="M79" s="39" t="inlineStr">
        <is>
          <t>-</t>
        </is>
      </c>
      <c r="N79" s="49" t="n">
        <v>0.15</v>
      </c>
      <c r="O79" s="50">
        <f>IF(L79="Y",K79,J79)+N79</f>
        <v/>
      </c>
      <c r="P79" s="38" t="inlineStr">
        <is>
          <t>아인소크나항(EGSOK)-&gt;카이로: 이집트 기본 12% + 중국산 냉연·도금·컬러강판 AD 조사 리스크</t>
        </is>
      </c>
    </row>
    <row r="80" ht="15" customHeight="1" s="32">
      <c r="A80" s="43" t="inlineStr">
        <is>
          <t>PCM</t>
        </is>
      </c>
      <c r="B80" s="43" t="inlineStr">
        <is>
          <t>Steel</t>
        </is>
      </c>
      <c r="C80" s="45" t="inlineStr">
        <is>
          <t>PCM (컬러강판/도장강판)</t>
        </is>
      </c>
      <c r="D80" s="43" t="inlineStr">
        <is>
          <t>HS 7210.70</t>
        </is>
      </c>
      <c r="E80" s="43" t="inlineStr">
        <is>
          <t>CN</t>
        </is>
      </c>
      <c r="F80" s="44" t="inlineStr">
        <is>
          <t>중국</t>
        </is>
      </c>
      <c r="G80" s="43" t="inlineStr">
        <is>
          <t>US</t>
        </is>
      </c>
      <c r="H80" s="44" t="inlineStr">
        <is>
          <t>미국 (클락스빌)</t>
        </is>
      </c>
      <c r="I80" s="44" t="inlineStr">
        <is>
          <t>서배너항 (Savannah) / 찰스턴항 + 철도Ramp (USSAV / USCHS)</t>
        </is>
      </c>
      <c r="J80" s="51" t="n">
        <v>0</v>
      </c>
      <c r="K80" s="51" t="n">
        <v>0</v>
      </c>
      <c r="L80" s="43" t="inlineStr">
        <is>
          <t>N</t>
        </is>
      </c>
      <c r="M80" s="45" t="inlineStr">
        <is>
          <t>-</t>
        </is>
      </c>
      <c r="N80" s="51" t="n">
        <v>1.25</v>
      </c>
      <c r="O80" s="52">
        <f>IF(L80="Y",K80,J80)+N80</f>
        <v/>
      </c>
      <c r="P80" s="44" t="inlineStr">
        <is>
          <t>서배너항-&gt;클락스빌: 미국 232조(50%) + 301조(25%) + 중국산 CORE 초고율 AD/CVD 부과</t>
        </is>
      </c>
    </row>
    <row r="81" ht="15" customHeight="1" s="32">
      <c r="A81" s="37" t="inlineStr">
        <is>
          <t>PCM</t>
        </is>
      </c>
      <c r="B81" s="37" t="inlineStr">
        <is>
          <t>Steel</t>
        </is>
      </c>
      <c r="C81" s="39" t="inlineStr">
        <is>
          <t>PCM (컬러강판/도장강판)</t>
        </is>
      </c>
      <c r="D81" s="37" t="inlineStr">
        <is>
          <t>HS 7210.70</t>
        </is>
      </c>
      <c r="E81" s="37" t="inlineStr">
        <is>
          <t>CN</t>
        </is>
      </c>
      <c r="F81" s="38" t="inlineStr">
        <is>
          <t>중국</t>
        </is>
      </c>
      <c r="G81" s="37" t="inlineStr">
        <is>
          <t>NO</t>
        </is>
      </c>
      <c r="H81" s="38" t="inlineStr">
        <is>
          <t>노르웨이 (오슬로)</t>
        </is>
      </c>
      <c r="I81" s="38" t="inlineStr">
        <is>
          <t>오슬로항 (Port of Oslo) (NOOSL)</t>
        </is>
      </c>
      <c r="J81" s="49" t="n">
        <v>0</v>
      </c>
      <c r="K81" s="49" t="n">
        <v>0</v>
      </c>
      <c r="L81" s="37" t="inlineStr">
        <is>
          <t>N</t>
        </is>
      </c>
      <c r="M81" s="38" t="inlineStr">
        <is>
          <t>노르웨이 공산품 무관세 (한-EFTA 등)</t>
        </is>
      </c>
      <c r="N81" s="49" t="n">
        <v>0</v>
      </c>
      <c r="O81" s="50">
        <f>IF(L81="Y",K81,J81)+N81</f>
        <v/>
      </c>
      <c r="P81" s="38" t="inlineStr">
        <is>
          <t>오슬로항(NOOSL) 통관: 노르웨이 관세청(Tolltariffen) 철강·합성수지 전 품목 MFN 0% 무관세</t>
        </is>
      </c>
    </row>
    <row r="82" ht="15" customHeight="1" s="32">
      <c r="A82" s="43" t="inlineStr">
        <is>
          <t>PCM</t>
        </is>
      </c>
      <c r="B82" s="43" t="inlineStr">
        <is>
          <t>Steel</t>
        </is>
      </c>
      <c r="C82" s="45" t="inlineStr">
        <is>
          <t>PCM (컬러강판/도장강판)</t>
        </is>
      </c>
      <c r="D82" s="43" t="inlineStr">
        <is>
          <t>HS 7210.70</t>
        </is>
      </c>
      <c r="E82" s="43" t="inlineStr">
        <is>
          <t>TH</t>
        </is>
      </c>
      <c r="F82" s="44" t="inlineStr">
        <is>
          <t>태국</t>
        </is>
      </c>
      <c r="G82" s="43" t="inlineStr">
        <is>
          <t>KR</t>
        </is>
      </c>
      <c r="H82" s="44" t="inlineStr">
        <is>
          <t>한국 (부산)</t>
        </is>
      </c>
      <c r="I82" s="44" t="inlineStr">
        <is>
          <t>부산항 (Port of Busan) (KRPUS)</t>
        </is>
      </c>
      <c r="J82" s="51" t="n">
        <v>0</v>
      </c>
      <c r="K82" s="51" t="n">
        <v>0</v>
      </c>
      <c r="L82" s="43" t="inlineStr">
        <is>
          <t>N</t>
        </is>
      </c>
      <c r="M82" s="45" t="inlineStr">
        <is>
          <t>WTO 철강 무관세</t>
        </is>
      </c>
      <c r="N82" s="51" t="n">
        <v>0</v>
      </c>
      <c r="O82" s="52">
        <f>IF(L82="Y",K82,J82)+N82</f>
        <v/>
      </c>
      <c r="P82" s="44" t="inlineStr">
        <is>
          <t>부산항 통관: HS 7210 한국 MFN 기본관세 0% (WTO 철강 무관세 협정, 반덤핑 미대상)</t>
        </is>
      </c>
    </row>
    <row r="83" ht="15" customHeight="1" s="32">
      <c r="A83" s="37" t="inlineStr">
        <is>
          <t>PCM</t>
        </is>
      </c>
      <c r="B83" s="37" t="inlineStr">
        <is>
          <t>Steel</t>
        </is>
      </c>
      <c r="C83" s="39" t="inlineStr">
        <is>
          <t>PCM (컬러강판/도장강판)</t>
        </is>
      </c>
      <c r="D83" s="37" t="inlineStr">
        <is>
          <t>HS 7210.70</t>
        </is>
      </c>
      <c r="E83" s="37" t="inlineStr">
        <is>
          <t>TH</t>
        </is>
      </c>
      <c r="F83" s="38" t="inlineStr">
        <is>
          <t>태국</t>
        </is>
      </c>
      <c r="G83" s="37" t="inlineStr">
        <is>
          <t>CN</t>
        </is>
      </c>
      <c r="H83" s="38" t="inlineStr">
        <is>
          <t>중국 (천진)</t>
        </is>
      </c>
      <c r="I83" s="38" t="inlineStr">
        <is>
          <t>천진 신강항 (Tianjin Xingang) (CNTSN)</t>
        </is>
      </c>
      <c r="J83" s="49" t="n">
        <v>0.04</v>
      </c>
      <c r="K83" s="49" t="n">
        <v>0</v>
      </c>
      <c r="L83" s="37" t="inlineStr">
        <is>
          <t>Y</t>
        </is>
      </c>
      <c r="M83" s="38" t="inlineStr">
        <is>
          <t>중-ASEAN FTA / RCEP</t>
        </is>
      </c>
      <c r="N83" s="49" t="n">
        <v>0</v>
      </c>
      <c r="O83" s="50">
        <f>IF(L83="Y",K83,J83)+N83</f>
        <v/>
      </c>
      <c r="P83" s="38" t="inlineStr">
        <is>
          <t>천진 신강항(CNTSN) 통관: RCEP 및 중-아세안 양허세율 적용</t>
        </is>
      </c>
    </row>
    <row r="84" ht="15" customHeight="1" s="32">
      <c r="A84" s="43" t="inlineStr">
        <is>
          <t>PCM</t>
        </is>
      </c>
      <c r="B84" s="43" t="inlineStr">
        <is>
          <t>Steel</t>
        </is>
      </c>
      <c r="C84" s="45" t="inlineStr">
        <is>
          <t>PCM (컬러강판/도장강판)</t>
        </is>
      </c>
      <c r="D84" s="43" t="inlineStr">
        <is>
          <t>HS 7210.70</t>
        </is>
      </c>
      <c r="E84" s="43" t="inlineStr">
        <is>
          <t>TH</t>
        </is>
      </c>
      <c r="F84" s="44" t="inlineStr">
        <is>
          <t>태국</t>
        </is>
      </c>
      <c r="G84" s="43" t="inlineStr">
        <is>
          <t>IN_NOI</t>
        </is>
      </c>
      <c r="H84" s="44" t="inlineStr">
        <is>
          <t>인도 (노이다)</t>
        </is>
      </c>
      <c r="I84" s="44" t="inlineStr">
        <is>
          <t>문드라항 (Mundra) + ICD 다드리 (INMUN-&gt;INDAD)</t>
        </is>
      </c>
      <c r="J84" s="51" t="n">
        <v>0.11</v>
      </c>
      <c r="K84" s="51" t="n">
        <v>0.05</v>
      </c>
      <c r="L84" s="43" t="inlineStr">
        <is>
          <t>Y</t>
        </is>
      </c>
      <c r="M84" s="44" t="inlineStr">
        <is>
          <t>인도-ASEAN FTA</t>
        </is>
      </c>
      <c r="N84" s="51" t="n">
        <v>0</v>
      </c>
      <c r="O84" s="52">
        <f>IF(L84="Y",K84,J84)+N84</f>
        <v/>
      </c>
      <c r="P84" s="44" t="inlineStr">
        <is>
          <t>문드라항-&gt;ICD 다드리(노이다) 통관: 인도-아세안 FTA 양허세율 적용</t>
        </is>
      </c>
    </row>
    <row r="85" ht="15" customHeight="1" s="32">
      <c r="A85" s="37" t="inlineStr">
        <is>
          <t>PCM</t>
        </is>
      </c>
      <c r="B85" s="37" t="inlineStr">
        <is>
          <t>Steel</t>
        </is>
      </c>
      <c r="C85" s="39" t="inlineStr">
        <is>
          <t>PCM (컬러강판/도장강판)</t>
        </is>
      </c>
      <c r="D85" s="37" t="inlineStr">
        <is>
          <t>HS 7210.70</t>
        </is>
      </c>
      <c r="E85" s="37" t="inlineStr">
        <is>
          <t>TH</t>
        </is>
      </c>
      <c r="F85" s="38" t="inlineStr">
        <is>
          <t>태국</t>
        </is>
      </c>
      <c r="G85" s="37" t="inlineStr">
        <is>
          <t>IN_PUN</t>
        </is>
      </c>
      <c r="H85" s="38" t="inlineStr">
        <is>
          <t>인도 (푸네)</t>
        </is>
      </c>
      <c r="I85" s="38" t="inlineStr">
        <is>
          <t>나바셰바항 (JNPT Mumbai) (INNSA)</t>
        </is>
      </c>
      <c r="J85" s="49" t="n">
        <v>0.11</v>
      </c>
      <c r="K85" s="49" t="n">
        <v>0.05</v>
      </c>
      <c r="L85" s="37" t="inlineStr">
        <is>
          <t>Y</t>
        </is>
      </c>
      <c r="M85" s="38" t="inlineStr">
        <is>
          <t>인도-ASEAN FTA</t>
        </is>
      </c>
      <c r="N85" s="49" t="n">
        <v>0</v>
      </c>
      <c r="O85" s="50">
        <f>IF(L85="Y",K85,J85)+N85</f>
        <v/>
      </c>
      <c r="P85" s="38" t="inlineStr">
        <is>
          <t>나바셰바항(푸네) 통관: 인도-아세안 FTA 양허세율 적용</t>
        </is>
      </c>
    </row>
    <row r="86" ht="15" customHeight="1" s="32">
      <c r="A86" s="43" t="inlineStr">
        <is>
          <t>PCM</t>
        </is>
      </c>
      <c r="B86" s="43" t="inlineStr">
        <is>
          <t>Steel</t>
        </is>
      </c>
      <c r="C86" s="45" t="inlineStr">
        <is>
          <t>PCM (컬러강판/도장강판)</t>
        </is>
      </c>
      <c r="D86" s="43" t="inlineStr">
        <is>
          <t>HS 7210.70</t>
        </is>
      </c>
      <c r="E86" s="43" t="inlineStr">
        <is>
          <t>TH</t>
        </is>
      </c>
      <c r="F86" s="44" t="inlineStr">
        <is>
          <t>태국</t>
        </is>
      </c>
      <c r="G86" s="43" t="inlineStr">
        <is>
          <t>TH</t>
        </is>
      </c>
      <c r="H86" s="44" t="inlineStr">
        <is>
          <t>태국 (람차방)</t>
        </is>
      </c>
      <c r="I86" s="44" t="inlineStr">
        <is>
          <t>람차방항 (Laem Chabang) (THLCH)</t>
        </is>
      </c>
      <c r="J86" s="51" t="n">
        <v>0</v>
      </c>
      <c r="K86" s="51" t="n">
        <v>0</v>
      </c>
      <c r="L86" s="43" t="inlineStr">
        <is>
          <t>N</t>
        </is>
      </c>
      <c r="M86" s="44" t="inlineStr">
        <is>
          <t>내수 조달 (관세 없음)</t>
        </is>
      </c>
      <c r="N86" s="51" t="n">
        <v>0</v>
      </c>
      <c r="O86" s="52">
        <f>IF(L86="Y",K86,J86)+N86</f>
        <v/>
      </c>
      <c r="P86" s="44" t="inlineStr">
        <is>
          <t>동일 국가 내 조달 (람차방 / 라용 (Laem Chabang) 직송, 수입관세 면제)</t>
        </is>
      </c>
    </row>
    <row r="87" ht="15" customHeight="1" s="32">
      <c r="A87" s="37" t="inlineStr">
        <is>
          <t>PCM</t>
        </is>
      </c>
      <c r="B87" s="37" t="inlineStr">
        <is>
          <t>Steel</t>
        </is>
      </c>
      <c r="C87" s="39" t="inlineStr">
        <is>
          <t>PCM (컬러강판/도장강판)</t>
        </is>
      </c>
      <c r="D87" s="37" t="inlineStr">
        <is>
          <t>HS 7210.70</t>
        </is>
      </c>
      <c r="E87" s="37" t="inlineStr">
        <is>
          <t>TH</t>
        </is>
      </c>
      <c r="F87" s="38" t="inlineStr">
        <is>
          <t>태국</t>
        </is>
      </c>
      <c r="G87" s="37" t="inlineStr">
        <is>
          <t>ID</t>
        </is>
      </c>
      <c r="H87" s="38" t="inlineStr">
        <is>
          <t>인니 (자카르타)</t>
        </is>
      </c>
      <c r="I87" s="38" t="inlineStr">
        <is>
          <t>탄중프리옥항 (Tanjung Priok) (IDJKT)</t>
        </is>
      </c>
      <c r="J87" s="49" t="n">
        <v>0.15</v>
      </c>
      <c r="K87" s="49" t="n">
        <v>0</v>
      </c>
      <c r="L87" s="37" t="inlineStr">
        <is>
          <t>Y</t>
        </is>
      </c>
      <c r="M87" s="39" t="inlineStr">
        <is>
          <t>ATIGA (아세안무역협정)</t>
        </is>
      </c>
      <c r="N87" s="49" t="n">
        <v>0</v>
      </c>
      <c r="O87" s="50">
        <f>IF(L87="Y",K87,J87)+N87</f>
        <v/>
      </c>
      <c r="P87" s="38" t="inlineStr">
        <is>
          <t>탄중프리옥항 통관: ATIGA 역내 0% 무관세 및 AD 미대상</t>
        </is>
      </c>
    </row>
    <row r="88" ht="15" customHeight="1" s="32">
      <c r="A88" s="43" t="inlineStr">
        <is>
          <t>PCM</t>
        </is>
      </c>
      <c r="B88" s="43" t="inlineStr">
        <is>
          <t>Steel</t>
        </is>
      </c>
      <c r="C88" s="45" t="inlineStr">
        <is>
          <t>PCM (컬러강판/도장강판)</t>
        </is>
      </c>
      <c r="D88" s="43" t="inlineStr">
        <is>
          <t>HS 7210.70</t>
        </is>
      </c>
      <c r="E88" s="43" t="inlineStr">
        <is>
          <t>TH</t>
        </is>
      </c>
      <c r="F88" s="44" t="inlineStr">
        <is>
          <t>태국</t>
        </is>
      </c>
      <c r="G88" s="43" t="inlineStr">
        <is>
          <t>SA</t>
        </is>
      </c>
      <c r="H88" s="44" t="inlineStr">
        <is>
          <t>사우디 (제다)</t>
        </is>
      </c>
      <c r="I88" s="44" t="inlineStr">
        <is>
          <t>제다 이슬람항 (Jeddah Islamic Port) (SAJED)</t>
        </is>
      </c>
      <c r="J88" s="51" t="n">
        <v>0.1</v>
      </c>
      <c r="K88" s="51" t="n">
        <v>0.1</v>
      </c>
      <c r="L88" s="43" t="inlineStr">
        <is>
          <t>N</t>
        </is>
      </c>
      <c r="M88" s="45" t="inlineStr">
        <is>
          <t>-</t>
        </is>
      </c>
      <c r="N88" s="51" t="n">
        <v>0</v>
      </c>
      <c r="O88" s="52">
        <f>IF(L88="Y",K88,J88)+N88</f>
        <v/>
      </c>
      <c r="P88" s="44" t="inlineStr">
        <is>
          <t>제다 이슬람항 통관: 사우디 ZATCA 철강재 관세 10%</t>
        </is>
      </c>
    </row>
    <row r="89" ht="15" customHeight="1" s="32">
      <c r="A89" s="37" t="inlineStr">
        <is>
          <t>PCM</t>
        </is>
      </c>
      <c r="B89" s="37" t="inlineStr">
        <is>
          <t>Steel</t>
        </is>
      </c>
      <c r="C89" s="39" t="inlineStr">
        <is>
          <t>PCM (컬러강판/도장강판)</t>
        </is>
      </c>
      <c r="D89" s="37" t="inlineStr">
        <is>
          <t>HS 7210.70</t>
        </is>
      </c>
      <c r="E89" s="37" t="inlineStr">
        <is>
          <t>TH</t>
        </is>
      </c>
      <c r="F89" s="38" t="inlineStr">
        <is>
          <t>태국</t>
        </is>
      </c>
      <c r="G89" s="37" t="inlineStr">
        <is>
          <t>BR</t>
        </is>
      </c>
      <c r="H89" s="38" t="inlineStr">
        <is>
          <t>브라질 (마나우스)</t>
        </is>
      </c>
      <c r="I89" s="38" t="inlineStr">
        <is>
          <t>마나우스항 (Porto de Manaus / Chibatao) (BRMAO)</t>
        </is>
      </c>
      <c r="J89" s="49" t="n">
        <v>0.144</v>
      </c>
      <c r="K89" s="49" t="n">
        <v>0.144</v>
      </c>
      <c r="L89" s="37" t="inlineStr">
        <is>
          <t>N</t>
        </is>
      </c>
      <c r="M89" s="39" t="inlineStr">
        <is>
          <t>-</t>
        </is>
      </c>
      <c r="N89" s="49" t="n">
        <v>0</v>
      </c>
      <c r="O89" s="50">
        <f>IF(L89="Y",K89,J89)+N89</f>
        <v/>
      </c>
      <c r="P89" s="38" t="inlineStr">
        <is>
          <t>마나우스항 통관: 중국·인도산 AD 미대상 (마나우스 자유무역지대 ZFM 88% 감면 시 1.73%)</t>
        </is>
      </c>
    </row>
    <row r="90" ht="15" customHeight="1" s="32">
      <c r="A90" s="43" t="inlineStr">
        <is>
          <t>PCM</t>
        </is>
      </c>
      <c r="B90" s="43" t="inlineStr">
        <is>
          <t>Steel</t>
        </is>
      </c>
      <c r="C90" s="45" t="inlineStr">
        <is>
          <t>PCM (컬러강판/도장강판)</t>
        </is>
      </c>
      <c r="D90" s="43" t="inlineStr">
        <is>
          <t>HS 7210.70</t>
        </is>
      </c>
      <c r="E90" s="43" t="inlineStr">
        <is>
          <t>TH</t>
        </is>
      </c>
      <c r="F90" s="44" t="inlineStr">
        <is>
          <t>태국</t>
        </is>
      </c>
      <c r="G90" s="43" t="inlineStr">
        <is>
          <t>EG</t>
        </is>
      </c>
      <c r="H90" s="44" t="inlineStr">
        <is>
          <t>이집트 (카이로)</t>
        </is>
      </c>
      <c r="I90" s="44" t="inlineStr">
        <is>
          <t>아인소크나항 (Ain Sokhna) / 알렉산드리아항 (EGSOK / EGALY)</t>
        </is>
      </c>
      <c r="J90" s="51" t="n">
        <v>0.12</v>
      </c>
      <c r="K90" s="51" t="n">
        <v>0.12</v>
      </c>
      <c r="L90" s="43" t="inlineStr">
        <is>
          <t>N</t>
        </is>
      </c>
      <c r="M90" s="45" t="inlineStr">
        <is>
          <t>-</t>
        </is>
      </c>
      <c r="N90" s="51" t="n">
        <v>0</v>
      </c>
      <c r="O90" s="52">
        <f>IF(L90="Y",K90,J90)+N90</f>
        <v/>
      </c>
      <c r="P90" s="44" t="inlineStr">
        <is>
          <t>아인소크나항(EGSOK)-&gt;카이로: 이집트 HS 7210 도금/도장강판 기본 MFN 12% 적용</t>
        </is>
      </c>
    </row>
    <row r="91" ht="15" customHeight="1" s="32">
      <c r="A91" s="37" t="inlineStr">
        <is>
          <t>PCM</t>
        </is>
      </c>
      <c r="B91" s="37" t="inlineStr">
        <is>
          <t>Steel</t>
        </is>
      </c>
      <c r="C91" s="39" t="inlineStr">
        <is>
          <t>PCM (컬러강판/도장강판)</t>
        </is>
      </c>
      <c r="D91" s="37" t="inlineStr">
        <is>
          <t>HS 7210.70</t>
        </is>
      </c>
      <c r="E91" s="37" t="inlineStr">
        <is>
          <t>TH</t>
        </is>
      </c>
      <c r="F91" s="38" t="inlineStr">
        <is>
          <t>태국</t>
        </is>
      </c>
      <c r="G91" s="37" t="inlineStr">
        <is>
          <t>US</t>
        </is>
      </c>
      <c r="H91" s="38" t="inlineStr">
        <is>
          <t>미국 (클락스빌)</t>
        </is>
      </c>
      <c r="I91" s="38" t="inlineStr">
        <is>
          <t>서배너항 (Savannah) / 찰스턴항 + 철도Ramp (USSAV / USCHS)</t>
        </is>
      </c>
      <c r="J91" s="49" t="n">
        <v>0</v>
      </c>
      <c r="K91" s="49" t="n">
        <v>0</v>
      </c>
      <c r="L91" s="37" t="inlineStr">
        <is>
          <t>N</t>
        </is>
      </c>
      <c r="M91" s="39" t="inlineStr">
        <is>
          <t>-</t>
        </is>
      </c>
      <c r="N91" s="49" t="n">
        <v>0.525</v>
      </c>
      <c r="O91" s="50">
        <f>IF(L91="Y",K91,J91)+N91</f>
        <v/>
      </c>
      <c r="P91" s="38" t="inlineStr">
        <is>
          <t>서배너항-&gt;클락스빌: 미국 232조 철강 관세 50% + 2026.4 상무부 우회수출 조사 리스크</t>
        </is>
      </c>
    </row>
    <row r="92" ht="15" customHeight="1" s="32">
      <c r="A92" s="43" t="inlineStr">
        <is>
          <t>PCM</t>
        </is>
      </c>
      <c r="B92" s="43" t="inlineStr">
        <is>
          <t>Steel</t>
        </is>
      </c>
      <c r="C92" s="45" t="inlineStr">
        <is>
          <t>PCM (컬러강판/도장강판)</t>
        </is>
      </c>
      <c r="D92" s="43" t="inlineStr">
        <is>
          <t>HS 7210.70</t>
        </is>
      </c>
      <c r="E92" s="43" t="inlineStr">
        <is>
          <t>TH</t>
        </is>
      </c>
      <c r="F92" s="44" t="inlineStr">
        <is>
          <t>태국</t>
        </is>
      </c>
      <c r="G92" s="43" t="inlineStr">
        <is>
          <t>NO</t>
        </is>
      </c>
      <c r="H92" s="44" t="inlineStr">
        <is>
          <t>노르웨이 (오슬로)</t>
        </is>
      </c>
      <c r="I92" s="44" t="inlineStr">
        <is>
          <t>오슬로항 (Port of Oslo) (NOOSL)</t>
        </is>
      </c>
      <c r="J92" s="51" t="n">
        <v>0</v>
      </c>
      <c r="K92" s="51" t="n">
        <v>0</v>
      </c>
      <c r="L92" s="43" t="inlineStr">
        <is>
          <t>N</t>
        </is>
      </c>
      <c r="M92" s="44" t="inlineStr">
        <is>
          <t>노르웨이 공산품 무관세 (한-EFTA 등)</t>
        </is>
      </c>
      <c r="N92" s="51" t="n">
        <v>0</v>
      </c>
      <c r="O92" s="52">
        <f>IF(L92="Y",K92,J92)+N92</f>
        <v/>
      </c>
      <c r="P92" s="44" t="inlineStr">
        <is>
          <t>오슬로항(NOOSL) 통관: 노르웨이 관세청(Tolltariffen) 철강·합성수지 전 품목 MFN 0% 무관세</t>
        </is>
      </c>
    </row>
    <row r="93" ht="15" customHeight="1" s="32">
      <c r="A93" s="37" t="inlineStr">
        <is>
          <t>PCM</t>
        </is>
      </c>
      <c r="B93" s="37" t="inlineStr">
        <is>
          <t>Steel</t>
        </is>
      </c>
      <c r="C93" s="39" t="inlineStr">
        <is>
          <t>PCM (컬러강판/도장강판)</t>
        </is>
      </c>
      <c r="D93" s="37" t="inlineStr">
        <is>
          <t>HS 7210.70</t>
        </is>
      </c>
      <c r="E93" s="37" t="inlineStr">
        <is>
          <t>IN</t>
        </is>
      </c>
      <c r="F93" s="38" t="inlineStr">
        <is>
          <t>인도</t>
        </is>
      </c>
      <c r="G93" s="37" t="inlineStr">
        <is>
          <t>KR</t>
        </is>
      </c>
      <c r="H93" s="38" t="inlineStr">
        <is>
          <t>한국 (부산)</t>
        </is>
      </c>
      <c r="I93" s="38" t="inlineStr">
        <is>
          <t>부산항 (Port of Busan) (KRPUS)</t>
        </is>
      </c>
      <c r="J93" s="49" t="n">
        <v>0</v>
      </c>
      <c r="K93" s="49" t="n">
        <v>0</v>
      </c>
      <c r="L93" s="37" t="inlineStr">
        <is>
          <t>N</t>
        </is>
      </c>
      <c r="M93" s="39" t="inlineStr">
        <is>
          <t>WTO 철강 무관세</t>
        </is>
      </c>
      <c r="N93" s="49" t="n">
        <v>0</v>
      </c>
      <c r="O93" s="50">
        <f>IF(L93="Y",K93,J93)+N93</f>
        <v/>
      </c>
      <c r="P93" s="38" t="inlineStr">
        <is>
          <t>부산항 통관: HS 7210 한국 MFN 기본관세 0% (WTO 철강 무관세 협정, 반덤핑 미대상)</t>
        </is>
      </c>
    </row>
    <row r="94" ht="15" customHeight="1" s="32">
      <c r="A94" s="43" t="inlineStr">
        <is>
          <t>PCM</t>
        </is>
      </c>
      <c r="B94" s="43" t="inlineStr">
        <is>
          <t>Steel</t>
        </is>
      </c>
      <c r="C94" s="45" t="inlineStr">
        <is>
          <t>PCM (컬러강판/도장강판)</t>
        </is>
      </c>
      <c r="D94" s="43" t="inlineStr">
        <is>
          <t>HS 7210.70</t>
        </is>
      </c>
      <c r="E94" s="43" t="inlineStr">
        <is>
          <t>IN</t>
        </is>
      </c>
      <c r="F94" s="44" t="inlineStr">
        <is>
          <t>인도</t>
        </is>
      </c>
      <c r="G94" s="43" t="inlineStr">
        <is>
          <t>CN</t>
        </is>
      </c>
      <c r="H94" s="44" t="inlineStr">
        <is>
          <t>중국 (천진)</t>
        </is>
      </c>
      <c r="I94" s="44" t="inlineStr">
        <is>
          <t>천진 신강항 (Tianjin Xingang) (CNTSN)</t>
        </is>
      </c>
      <c r="J94" s="51" t="n">
        <v>0.04</v>
      </c>
      <c r="K94" s="51" t="n">
        <v>0.04</v>
      </c>
      <c r="L94" s="43" t="inlineStr">
        <is>
          <t>N</t>
        </is>
      </c>
      <c r="M94" s="45" t="inlineStr">
        <is>
          <t>-</t>
        </is>
      </c>
      <c r="N94" s="51" t="n">
        <v>0</v>
      </c>
      <c r="O94" s="52">
        <f>IF(L94="Y",K94,J94)+N94</f>
        <v/>
      </c>
      <c r="P94" s="45" t="inlineStr">
        <is>
          <t>WTO/WITS 일반 MFN 세율 적용</t>
        </is>
      </c>
    </row>
    <row r="95" ht="15" customHeight="1" s="32">
      <c r="A95" s="37" t="inlineStr">
        <is>
          <t>PCM</t>
        </is>
      </c>
      <c r="B95" s="37" t="inlineStr">
        <is>
          <t>Steel</t>
        </is>
      </c>
      <c r="C95" s="39" t="inlineStr">
        <is>
          <t>PCM (컬러강판/도장강판)</t>
        </is>
      </c>
      <c r="D95" s="37" t="inlineStr">
        <is>
          <t>HS 7210.70</t>
        </is>
      </c>
      <c r="E95" s="37" t="inlineStr">
        <is>
          <t>IN</t>
        </is>
      </c>
      <c r="F95" s="38" t="inlineStr">
        <is>
          <t>인도</t>
        </is>
      </c>
      <c r="G95" s="37" t="inlineStr">
        <is>
          <t>IN_NOI</t>
        </is>
      </c>
      <c r="H95" s="38" t="inlineStr">
        <is>
          <t>인도 (노이다)</t>
        </is>
      </c>
      <c r="I95" s="38" t="inlineStr">
        <is>
          <t>문드라항 (Mundra) + ICD 다드리 (INMUN-&gt;INDAD)</t>
        </is>
      </c>
      <c r="J95" s="49" t="n">
        <v>0</v>
      </c>
      <c r="K95" s="49" t="n">
        <v>0</v>
      </c>
      <c r="L95" s="37" t="inlineStr">
        <is>
          <t>N</t>
        </is>
      </c>
      <c r="M95" s="38" t="inlineStr">
        <is>
          <t>내수 조달 (관세 없음)</t>
        </is>
      </c>
      <c r="N95" s="49" t="n">
        <v>0</v>
      </c>
      <c r="O95" s="50">
        <f>IF(L95="Y",K95,J95)+N95</f>
        <v/>
      </c>
      <c r="P95" s="38" t="inlineStr">
        <is>
          <t>동일 국가 내 조달 (노이다 (Noida, Delhi NCR) 직송, 수입관세 면제)</t>
        </is>
      </c>
    </row>
    <row r="96" ht="15" customHeight="1" s="32">
      <c r="A96" s="43" t="inlineStr">
        <is>
          <t>PCM</t>
        </is>
      </c>
      <c r="B96" s="43" t="inlineStr">
        <is>
          <t>Steel</t>
        </is>
      </c>
      <c r="C96" s="45" t="inlineStr">
        <is>
          <t>PCM (컬러강판/도장강판)</t>
        </is>
      </c>
      <c r="D96" s="43" t="inlineStr">
        <is>
          <t>HS 7210.70</t>
        </is>
      </c>
      <c r="E96" s="43" t="inlineStr">
        <is>
          <t>IN</t>
        </is>
      </c>
      <c r="F96" s="44" t="inlineStr">
        <is>
          <t>인도</t>
        </is>
      </c>
      <c r="G96" s="43" t="inlineStr">
        <is>
          <t>IN_PUN</t>
        </is>
      </c>
      <c r="H96" s="44" t="inlineStr">
        <is>
          <t>인도 (푸네)</t>
        </is>
      </c>
      <c r="I96" s="44" t="inlineStr">
        <is>
          <t>나바셰바항 (JNPT Mumbai) (INNSA)</t>
        </is>
      </c>
      <c r="J96" s="51" t="n">
        <v>0</v>
      </c>
      <c r="K96" s="51" t="n">
        <v>0</v>
      </c>
      <c r="L96" s="43" t="inlineStr">
        <is>
          <t>N</t>
        </is>
      </c>
      <c r="M96" s="44" t="inlineStr">
        <is>
          <t>내수 조달 (관세 없음)</t>
        </is>
      </c>
      <c r="N96" s="51" t="n">
        <v>0</v>
      </c>
      <c r="O96" s="52">
        <f>IF(L96="Y",K96,J96)+N96</f>
        <v/>
      </c>
      <c r="P96" s="44" t="inlineStr">
        <is>
          <t>동일 국가 내 조달 (푸네 (Pune, Maharashtra) 직송, 수입관세 면제)</t>
        </is>
      </c>
    </row>
    <row r="97" ht="15" customHeight="1" s="32">
      <c r="A97" s="37" t="inlineStr">
        <is>
          <t>PCM</t>
        </is>
      </c>
      <c r="B97" s="37" t="inlineStr">
        <is>
          <t>Steel</t>
        </is>
      </c>
      <c r="C97" s="39" t="inlineStr">
        <is>
          <t>PCM (컬러강판/도장강판)</t>
        </is>
      </c>
      <c r="D97" s="37" t="inlineStr">
        <is>
          <t>HS 7210.70</t>
        </is>
      </c>
      <c r="E97" s="37" t="inlineStr">
        <is>
          <t>IN</t>
        </is>
      </c>
      <c r="F97" s="38" t="inlineStr">
        <is>
          <t>인도</t>
        </is>
      </c>
      <c r="G97" s="37" t="inlineStr">
        <is>
          <t>TH</t>
        </is>
      </c>
      <c r="H97" s="38" t="inlineStr">
        <is>
          <t>태국 (람차방)</t>
        </is>
      </c>
      <c r="I97" s="38" t="inlineStr">
        <is>
          <t>람차방항 (Laem Chabang) (THLCH)</t>
        </is>
      </c>
      <c r="J97" s="49" t="n">
        <v>0.07000000000000001</v>
      </c>
      <c r="K97" s="49" t="n">
        <v>0.025</v>
      </c>
      <c r="L97" s="37" t="inlineStr">
        <is>
          <t>Y</t>
        </is>
      </c>
      <c r="M97" s="38" t="inlineStr">
        <is>
          <t>태국-인도 FTA</t>
        </is>
      </c>
      <c r="N97" s="49" t="n">
        <v>0</v>
      </c>
      <c r="O97" s="50">
        <f>IF(L97="Y",K97,J97)+N97</f>
        <v/>
      </c>
      <c r="P97" s="38" t="inlineStr">
        <is>
          <t>람차방항 통관: 태국-인도 FTA 양허세율 적용 (AD 미대상)</t>
        </is>
      </c>
    </row>
    <row r="98" ht="15" customHeight="1" s="32">
      <c r="A98" s="43" t="inlineStr">
        <is>
          <t>PCM</t>
        </is>
      </c>
      <c r="B98" s="43" t="inlineStr">
        <is>
          <t>Steel</t>
        </is>
      </c>
      <c r="C98" s="45" t="inlineStr">
        <is>
          <t>PCM (컬러강판/도장강판)</t>
        </is>
      </c>
      <c r="D98" s="43" t="inlineStr">
        <is>
          <t>HS 7210.70</t>
        </is>
      </c>
      <c r="E98" s="43" t="inlineStr">
        <is>
          <t>IN</t>
        </is>
      </c>
      <c r="F98" s="44" t="inlineStr">
        <is>
          <t>인도</t>
        </is>
      </c>
      <c r="G98" s="43" t="inlineStr">
        <is>
          <t>ID</t>
        </is>
      </c>
      <c r="H98" s="44" t="inlineStr">
        <is>
          <t>인니 (자카르타)</t>
        </is>
      </c>
      <c r="I98" s="44" t="inlineStr">
        <is>
          <t>탄중프리옥항 (Tanjung Priok) (IDJKT)</t>
        </is>
      </c>
      <c r="J98" s="51" t="n">
        <v>0.15</v>
      </c>
      <c r="K98" s="51" t="n">
        <v>0.05</v>
      </c>
      <c r="L98" s="43" t="inlineStr">
        <is>
          <t>Y</t>
        </is>
      </c>
      <c r="M98" s="44" t="inlineStr">
        <is>
          <t>인도-ASEAN FTA</t>
        </is>
      </c>
      <c r="N98" s="51" t="n">
        <v>0.055</v>
      </c>
      <c r="O98" s="52">
        <f>IF(L98="Y",K98,J98)+N98</f>
        <v/>
      </c>
      <c r="P98" s="44" t="inlineStr">
        <is>
          <t>탄중프리옥항 통관: 아세안-인도 협정세율 및 세이프가드 반영</t>
        </is>
      </c>
    </row>
    <row r="99" ht="15" customHeight="1" s="32">
      <c r="A99" s="37" t="inlineStr">
        <is>
          <t>PCM</t>
        </is>
      </c>
      <c r="B99" s="37" t="inlineStr">
        <is>
          <t>Steel</t>
        </is>
      </c>
      <c r="C99" s="39" t="inlineStr">
        <is>
          <t>PCM (컬러강판/도장강판)</t>
        </is>
      </c>
      <c r="D99" s="37" t="inlineStr">
        <is>
          <t>HS 7210.70</t>
        </is>
      </c>
      <c r="E99" s="37" t="inlineStr">
        <is>
          <t>IN</t>
        </is>
      </c>
      <c r="F99" s="38" t="inlineStr">
        <is>
          <t>인도</t>
        </is>
      </c>
      <c r="G99" s="37" t="inlineStr">
        <is>
          <t>SA</t>
        </is>
      </c>
      <c r="H99" s="38" t="inlineStr">
        <is>
          <t>사우디 (제다)</t>
        </is>
      </c>
      <c r="I99" s="38" t="inlineStr">
        <is>
          <t>제다 이슬람항 (Jeddah Islamic Port) (SAJED)</t>
        </is>
      </c>
      <c r="J99" s="49" t="n">
        <v>0.1</v>
      </c>
      <c r="K99" s="49" t="n">
        <v>0.1</v>
      </c>
      <c r="L99" s="37" t="inlineStr">
        <is>
          <t>N</t>
        </is>
      </c>
      <c r="M99" s="39" t="inlineStr">
        <is>
          <t>-</t>
        </is>
      </c>
      <c r="N99" s="49" t="n">
        <v>0</v>
      </c>
      <c r="O99" s="50">
        <f>IF(L99="Y",K99,J99)+N99</f>
        <v/>
      </c>
      <c r="P99" s="38" t="inlineStr">
        <is>
          <t>제다 이슬람항 통관: 사우디 ZATCA 철강재 관세 10%</t>
        </is>
      </c>
    </row>
    <row r="100" ht="15" customHeight="1" s="32">
      <c r="A100" s="43" t="inlineStr">
        <is>
          <t>PCM</t>
        </is>
      </c>
      <c r="B100" s="43" t="inlineStr">
        <is>
          <t>Steel</t>
        </is>
      </c>
      <c r="C100" s="45" t="inlineStr">
        <is>
          <t>PCM (컬러강판/도장강판)</t>
        </is>
      </c>
      <c r="D100" s="43" t="inlineStr">
        <is>
          <t>HS 7210.70</t>
        </is>
      </c>
      <c r="E100" s="43" t="inlineStr">
        <is>
          <t>IN</t>
        </is>
      </c>
      <c r="F100" s="44" t="inlineStr">
        <is>
          <t>인도</t>
        </is>
      </c>
      <c r="G100" s="43" t="inlineStr">
        <is>
          <t>BR</t>
        </is>
      </c>
      <c r="H100" s="44" t="inlineStr">
        <is>
          <t>브라질 (마나우스)</t>
        </is>
      </c>
      <c r="I100" s="44" t="inlineStr">
        <is>
          <t>마나우스항 (Porto de Manaus / Chibatao) (BRMAO)</t>
        </is>
      </c>
      <c r="J100" s="51" t="n">
        <v>0.144</v>
      </c>
      <c r="K100" s="51" t="n">
        <v>0.144</v>
      </c>
      <c r="L100" s="43" t="inlineStr">
        <is>
          <t>N</t>
        </is>
      </c>
      <c r="M100" s="45" t="inlineStr">
        <is>
          <t>-</t>
        </is>
      </c>
      <c r="N100" s="51" t="n">
        <v>0.36</v>
      </c>
      <c r="O100" s="52">
        <f>IF(L100="Y",K100,J100)+N100</f>
        <v/>
      </c>
      <c r="P100" s="44" t="inlineStr">
        <is>
          <t>마나우스항 통관: 브라질 Secex(2026.1) 인도산 PCM 확정 AD 부과 / GI는 25% 쿼터관세 반영</t>
        </is>
      </c>
    </row>
    <row r="101" ht="15" customHeight="1" s="32">
      <c r="A101" s="37" t="inlineStr">
        <is>
          <t>PCM</t>
        </is>
      </c>
      <c r="B101" s="37" t="inlineStr">
        <is>
          <t>Steel</t>
        </is>
      </c>
      <c r="C101" s="39" t="inlineStr">
        <is>
          <t>PCM (컬러강판/도장강판)</t>
        </is>
      </c>
      <c r="D101" s="37" t="inlineStr">
        <is>
          <t>HS 7210.70</t>
        </is>
      </c>
      <c r="E101" s="37" t="inlineStr">
        <is>
          <t>IN</t>
        </is>
      </c>
      <c r="F101" s="38" t="inlineStr">
        <is>
          <t>인도</t>
        </is>
      </c>
      <c r="G101" s="37" t="inlineStr">
        <is>
          <t>EG</t>
        </is>
      </c>
      <c r="H101" s="38" t="inlineStr">
        <is>
          <t>이집트 (카이로)</t>
        </is>
      </c>
      <c r="I101" s="38" t="inlineStr">
        <is>
          <t>아인소크나항 (Ain Sokhna) / 알렉산드리아항 (EGSOK / EGALY)</t>
        </is>
      </c>
      <c r="J101" s="49" t="n">
        <v>0.12</v>
      </c>
      <c r="K101" s="49" t="n">
        <v>0.12</v>
      </c>
      <c r="L101" s="37" t="inlineStr">
        <is>
          <t>N</t>
        </is>
      </c>
      <c r="M101" s="39" t="inlineStr">
        <is>
          <t>-</t>
        </is>
      </c>
      <c r="N101" s="49" t="n">
        <v>0.05</v>
      </c>
      <c r="O101" s="50">
        <f>IF(L101="Y",K101,J101)+N101</f>
        <v/>
      </c>
      <c r="P101" s="38" t="inlineStr">
        <is>
          <t>아인소크나항(EGSOK)-&gt;카이로: 이집트 기본 12% + 철강 세이프가드 모니터링</t>
        </is>
      </c>
    </row>
    <row r="102" ht="15" customHeight="1" s="32">
      <c r="A102" s="43" t="inlineStr">
        <is>
          <t>PCM</t>
        </is>
      </c>
      <c r="B102" s="43" t="inlineStr">
        <is>
          <t>Steel</t>
        </is>
      </c>
      <c r="C102" s="45" t="inlineStr">
        <is>
          <t>PCM (컬러강판/도장강판)</t>
        </is>
      </c>
      <c r="D102" s="43" t="inlineStr">
        <is>
          <t>HS 7210.70</t>
        </is>
      </c>
      <c r="E102" s="43" t="inlineStr">
        <is>
          <t>IN</t>
        </is>
      </c>
      <c r="F102" s="44" t="inlineStr">
        <is>
          <t>인도</t>
        </is>
      </c>
      <c r="G102" s="43" t="inlineStr">
        <is>
          <t>US</t>
        </is>
      </c>
      <c r="H102" s="44" t="inlineStr">
        <is>
          <t>미국 (클락스빌)</t>
        </is>
      </c>
      <c r="I102" s="44" t="inlineStr">
        <is>
          <t>서배너항 (Savannah) / 찰스턴항 + 철도Ramp (USSAV / USCHS)</t>
        </is>
      </c>
      <c r="J102" s="51" t="n">
        <v>0</v>
      </c>
      <c r="K102" s="51" t="n">
        <v>0</v>
      </c>
      <c r="L102" s="43" t="inlineStr">
        <is>
          <t>N</t>
        </is>
      </c>
      <c r="M102" s="45" t="inlineStr">
        <is>
          <t>-</t>
        </is>
      </c>
      <c r="N102" s="51" t="n">
        <v>0.5649999999999999</v>
      </c>
      <c r="O102" s="52">
        <f>IF(L102="Y",K102,J102)+N102</f>
        <v/>
      </c>
      <c r="P102" s="44" t="inlineStr">
        <is>
          <t>서배너항-&gt;클락스빌: 미국 232조 철강 관세 50% + 인도산 도금강판 AD/CVD(~6.5%)</t>
        </is>
      </c>
    </row>
    <row r="103" ht="15" customHeight="1" s="32">
      <c r="A103" s="37" t="inlineStr">
        <is>
          <t>PCM</t>
        </is>
      </c>
      <c r="B103" s="37" t="inlineStr">
        <is>
          <t>Steel</t>
        </is>
      </c>
      <c r="C103" s="39" t="inlineStr">
        <is>
          <t>PCM (컬러강판/도장강판)</t>
        </is>
      </c>
      <c r="D103" s="37" t="inlineStr">
        <is>
          <t>HS 7210.70</t>
        </is>
      </c>
      <c r="E103" s="37" t="inlineStr">
        <is>
          <t>IN</t>
        </is>
      </c>
      <c r="F103" s="38" t="inlineStr">
        <is>
          <t>인도</t>
        </is>
      </c>
      <c r="G103" s="37" t="inlineStr">
        <is>
          <t>NO</t>
        </is>
      </c>
      <c r="H103" s="38" t="inlineStr">
        <is>
          <t>노르웨이 (오슬로)</t>
        </is>
      </c>
      <c r="I103" s="38" t="inlineStr">
        <is>
          <t>오슬로항 (Port of Oslo) (NOOSL)</t>
        </is>
      </c>
      <c r="J103" s="49" t="n">
        <v>0</v>
      </c>
      <c r="K103" s="49" t="n">
        <v>0</v>
      </c>
      <c r="L103" s="37" t="inlineStr">
        <is>
          <t>N</t>
        </is>
      </c>
      <c r="M103" s="38" t="inlineStr">
        <is>
          <t>노르웨이 공산품 무관세 (한-EFTA 등)</t>
        </is>
      </c>
      <c r="N103" s="49" t="n">
        <v>0</v>
      </c>
      <c r="O103" s="50">
        <f>IF(L103="Y",K103,J103)+N103</f>
        <v/>
      </c>
      <c r="P103" s="38" t="inlineStr">
        <is>
          <t>오슬로항(NOOSL) 통관: 노르웨이 관세청(Tolltariffen) 철강·합성수지 전 품목 MFN 0% 무관세</t>
        </is>
      </c>
    </row>
    <row r="104" ht="15" customHeight="1" s="32">
      <c r="A104" s="43" t="inlineStr">
        <is>
          <t>PCM</t>
        </is>
      </c>
      <c r="B104" s="43" t="inlineStr">
        <is>
          <t>Steel</t>
        </is>
      </c>
      <c r="C104" s="45" t="inlineStr">
        <is>
          <t>PCM (컬러강판/도장강판)</t>
        </is>
      </c>
      <c r="D104" s="43" t="inlineStr">
        <is>
          <t>HS 7210.70</t>
        </is>
      </c>
      <c r="E104" s="43" t="inlineStr">
        <is>
          <t>US</t>
        </is>
      </c>
      <c r="F104" s="44" t="inlineStr">
        <is>
          <t>미국</t>
        </is>
      </c>
      <c r="G104" s="43" t="inlineStr">
        <is>
          <t>KR</t>
        </is>
      </c>
      <c r="H104" s="44" t="inlineStr">
        <is>
          <t>한국 (부산)</t>
        </is>
      </c>
      <c r="I104" s="44" t="inlineStr">
        <is>
          <t>부산항 (Port of Busan) (KRPUS)</t>
        </is>
      </c>
      <c r="J104" s="51" t="n">
        <v>0</v>
      </c>
      <c r="K104" s="51" t="n">
        <v>0</v>
      </c>
      <c r="L104" s="43" t="inlineStr">
        <is>
          <t>N</t>
        </is>
      </c>
      <c r="M104" s="45" t="inlineStr">
        <is>
          <t>WTO 철강 무관세</t>
        </is>
      </c>
      <c r="N104" s="51" t="n">
        <v>0</v>
      </c>
      <c r="O104" s="52">
        <f>IF(L104="Y",K104,J104)+N104</f>
        <v/>
      </c>
      <c r="P104" s="44" t="inlineStr">
        <is>
          <t>부산항 통관: HS 7210 한국 MFN 기본관세 0% (WTO 철강 무관세 협정, 반덤핑 미대상)</t>
        </is>
      </c>
    </row>
    <row r="105" ht="15" customHeight="1" s="32">
      <c r="A105" s="37" t="inlineStr">
        <is>
          <t>PCM</t>
        </is>
      </c>
      <c r="B105" s="37" t="inlineStr">
        <is>
          <t>Steel</t>
        </is>
      </c>
      <c r="C105" s="39" t="inlineStr">
        <is>
          <t>PCM (컬러강판/도장강판)</t>
        </is>
      </c>
      <c r="D105" s="37" t="inlineStr">
        <is>
          <t>HS 7210.70</t>
        </is>
      </c>
      <c r="E105" s="37" t="inlineStr">
        <is>
          <t>US</t>
        </is>
      </c>
      <c r="F105" s="38" t="inlineStr">
        <is>
          <t>미국</t>
        </is>
      </c>
      <c r="G105" s="37" t="inlineStr">
        <is>
          <t>CN</t>
        </is>
      </c>
      <c r="H105" s="38" t="inlineStr">
        <is>
          <t>중국 (천진)</t>
        </is>
      </c>
      <c r="I105" s="38" t="inlineStr">
        <is>
          <t>천진 신강항 (Tianjin Xingang) (CNTSN)</t>
        </is>
      </c>
      <c r="J105" s="49" t="n">
        <v>0.04</v>
      </c>
      <c r="K105" s="49" t="n">
        <v>0.04</v>
      </c>
      <c r="L105" s="37" t="inlineStr">
        <is>
          <t>N</t>
        </is>
      </c>
      <c r="M105" s="39" t="inlineStr">
        <is>
          <t>-</t>
        </is>
      </c>
      <c r="N105" s="49" t="n">
        <v>0.25</v>
      </c>
      <c r="O105" s="50">
        <f>IF(L105="Y",K105,J105)+N105</f>
        <v/>
      </c>
      <c r="P105" s="38" t="inlineStr">
        <is>
          <t>천진 신강항 통관: 대미 보복관세(15~25%) 부과 대상</t>
        </is>
      </c>
    </row>
    <row r="106" ht="15" customHeight="1" s="32">
      <c r="A106" s="43" t="inlineStr">
        <is>
          <t>PCM</t>
        </is>
      </c>
      <c r="B106" s="43" t="inlineStr">
        <is>
          <t>Steel</t>
        </is>
      </c>
      <c r="C106" s="45" t="inlineStr">
        <is>
          <t>PCM (컬러강판/도장강판)</t>
        </is>
      </c>
      <c r="D106" s="43" t="inlineStr">
        <is>
          <t>HS 7210.70</t>
        </is>
      </c>
      <c r="E106" s="43" t="inlineStr">
        <is>
          <t>US</t>
        </is>
      </c>
      <c r="F106" s="44" t="inlineStr">
        <is>
          <t>미국</t>
        </is>
      </c>
      <c r="G106" s="43" t="inlineStr">
        <is>
          <t>IN_NOI</t>
        </is>
      </c>
      <c r="H106" s="44" t="inlineStr">
        <is>
          <t>인도 (노이다)</t>
        </is>
      </c>
      <c r="I106" s="44" t="inlineStr">
        <is>
          <t>문드라항 (Mundra) + ICD 다드리 (INMUN-&gt;INDAD)</t>
        </is>
      </c>
      <c r="J106" s="51" t="n">
        <v>0.11</v>
      </c>
      <c r="K106" s="51" t="n">
        <v>0.11</v>
      </c>
      <c r="L106" s="43" t="inlineStr">
        <is>
          <t>N</t>
        </is>
      </c>
      <c r="M106" s="45" t="inlineStr">
        <is>
          <t>-</t>
        </is>
      </c>
      <c r="N106" s="51" t="n">
        <v>0</v>
      </c>
      <c r="O106" s="52">
        <f>IF(L106="Y",K106,J106)+N106</f>
        <v/>
      </c>
      <c r="P106" s="45" t="inlineStr">
        <is>
          <t>WTO/WITS 일반 MFN 세율 적용</t>
        </is>
      </c>
    </row>
    <row r="107" ht="15" customHeight="1" s="32">
      <c r="A107" s="37" t="inlineStr">
        <is>
          <t>PCM</t>
        </is>
      </c>
      <c r="B107" s="37" t="inlineStr">
        <is>
          <t>Steel</t>
        </is>
      </c>
      <c r="C107" s="39" t="inlineStr">
        <is>
          <t>PCM (컬러강판/도장강판)</t>
        </is>
      </c>
      <c r="D107" s="37" t="inlineStr">
        <is>
          <t>HS 7210.70</t>
        </is>
      </c>
      <c r="E107" s="37" t="inlineStr">
        <is>
          <t>US</t>
        </is>
      </c>
      <c r="F107" s="38" t="inlineStr">
        <is>
          <t>미국</t>
        </is>
      </c>
      <c r="G107" s="37" t="inlineStr">
        <is>
          <t>IN_PUN</t>
        </is>
      </c>
      <c r="H107" s="38" t="inlineStr">
        <is>
          <t>인도 (푸네)</t>
        </is>
      </c>
      <c r="I107" s="38" t="inlineStr">
        <is>
          <t>나바셰바항 (JNPT Mumbai) (INNSA)</t>
        </is>
      </c>
      <c r="J107" s="49" t="n">
        <v>0.11</v>
      </c>
      <c r="K107" s="49" t="n">
        <v>0.11</v>
      </c>
      <c r="L107" s="37" t="inlineStr">
        <is>
          <t>N</t>
        </is>
      </c>
      <c r="M107" s="39" t="inlineStr">
        <is>
          <t>-</t>
        </is>
      </c>
      <c r="N107" s="49" t="n">
        <v>0</v>
      </c>
      <c r="O107" s="50">
        <f>IF(L107="Y",K107,J107)+N107</f>
        <v/>
      </c>
      <c r="P107" s="39" t="inlineStr">
        <is>
          <t>WTO/WITS 일반 MFN 세율 적용</t>
        </is>
      </c>
    </row>
    <row r="108" ht="15" customHeight="1" s="32">
      <c r="A108" s="43" t="inlineStr">
        <is>
          <t>PCM</t>
        </is>
      </c>
      <c r="B108" s="43" t="inlineStr">
        <is>
          <t>Steel</t>
        </is>
      </c>
      <c r="C108" s="45" t="inlineStr">
        <is>
          <t>PCM (컬러강판/도장강판)</t>
        </is>
      </c>
      <c r="D108" s="43" t="inlineStr">
        <is>
          <t>HS 7210.70</t>
        </is>
      </c>
      <c r="E108" s="43" t="inlineStr">
        <is>
          <t>US</t>
        </is>
      </c>
      <c r="F108" s="44" t="inlineStr">
        <is>
          <t>미국</t>
        </is>
      </c>
      <c r="G108" s="43" t="inlineStr">
        <is>
          <t>TH</t>
        </is>
      </c>
      <c r="H108" s="44" t="inlineStr">
        <is>
          <t>태국 (람차방)</t>
        </is>
      </c>
      <c r="I108" s="44" t="inlineStr">
        <is>
          <t>람차방항 (Laem Chabang) (THLCH)</t>
        </is>
      </c>
      <c r="J108" s="51" t="n">
        <v>0.07000000000000001</v>
      </c>
      <c r="K108" s="51" t="n">
        <v>0.07000000000000001</v>
      </c>
      <c r="L108" s="43" t="inlineStr">
        <is>
          <t>N</t>
        </is>
      </c>
      <c r="M108" s="45" t="inlineStr">
        <is>
          <t>-</t>
        </is>
      </c>
      <c r="N108" s="51" t="n">
        <v>0</v>
      </c>
      <c r="O108" s="52">
        <f>IF(L108="Y",K108,J108)+N108</f>
        <v/>
      </c>
      <c r="P108" s="45" t="inlineStr">
        <is>
          <t>WTO/WITS 일반 MFN 세율 적용</t>
        </is>
      </c>
    </row>
    <row r="109" ht="15" customHeight="1" s="32">
      <c r="A109" s="37" t="inlineStr">
        <is>
          <t>PCM</t>
        </is>
      </c>
      <c r="B109" s="37" t="inlineStr">
        <is>
          <t>Steel</t>
        </is>
      </c>
      <c r="C109" s="39" t="inlineStr">
        <is>
          <t>PCM (컬러강판/도장강판)</t>
        </is>
      </c>
      <c r="D109" s="37" t="inlineStr">
        <is>
          <t>HS 7210.70</t>
        </is>
      </c>
      <c r="E109" s="37" t="inlineStr">
        <is>
          <t>US</t>
        </is>
      </c>
      <c r="F109" s="38" t="inlineStr">
        <is>
          <t>미국</t>
        </is>
      </c>
      <c r="G109" s="37" t="inlineStr">
        <is>
          <t>ID</t>
        </is>
      </c>
      <c r="H109" s="38" t="inlineStr">
        <is>
          <t>인니 (자카르타)</t>
        </is>
      </c>
      <c r="I109" s="38" t="inlineStr">
        <is>
          <t>탄중프리옥항 (Tanjung Priok) (IDJKT)</t>
        </is>
      </c>
      <c r="J109" s="49" t="n">
        <v>0.15</v>
      </c>
      <c r="K109" s="49" t="n">
        <v>0.15</v>
      </c>
      <c r="L109" s="37" t="inlineStr">
        <is>
          <t>N</t>
        </is>
      </c>
      <c r="M109" s="39" t="inlineStr">
        <is>
          <t>-</t>
        </is>
      </c>
      <c r="N109" s="49" t="n">
        <v>0</v>
      </c>
      <c r="O109" s="50">
        <f>IF(L109="Y",K109,J109)+N109</f>
        <v/>
      </c>
      <c r="P109" s="39" t="inlineStr">
        <is>
          <t>WTO/WITS 일반 MFN 세율 적용</t>
        </is>
      </c>
    </row>
    <row r="110" ht="15" customHeight="1" s="32">
      <c r="A110" s="43" t="inlineStr">
        <is>
          <t>PCM</t>
        </is>
      </c>
      <c r="B110" s="43" t="inlineStr">
        <is>
          <t>Steel</t>
        </is>
      </c>
      <c r="C110" s="45" t="inlineStr">
        <is>
          <t>PCM (컬러강판/도장강판)</t>
        </is>
      </c>
      <c r="D110" s="43" t="inlineStr">
        <is>
          <t>HS 7210.70</t>
        </is>
      </c>
      <c r="E110" s="43" t="inlineStr">
        <is>
          <t>US</t>
        </is>
      </c>
      <c r="F110" s="44" t="inlineStr">
        <is>
          <t>미국</t>
        </is>
      </c>
      <c r="G110" s="43" t="inlineStr">
        <is>
          <t>SA</t>
        </is>
      </c>
      <c r="H110" s="44" t="inlineStr">
        <is>
          <t>사우디 (제다)</t>
        </is>
      </c>
      <c r="I110" s="44" t="inlineStr">
        <is>
          <t>제다 이슬람항 (Jeddah Islamic Port) (SAJED)</t>
        </is>
      </c>
      <c r="J110" s="51" t="n">
        <v>0.1</v>
      </c>
      <c r="K110" s="51" t="n">
        <v>0.1</v>
      </c>
      <c r="L110" s="43" t="inlineStr">
        <is>
          <t>N</t>
        </is>
      </c>
      <c r="M110" s="45" t="inlineStr">
        <is>
          <t>-</t>
        </is>
      </c>
      <c r="N110" s="51" t="n">
        <v>0</v>
      </c>
      <c r="O110" s="52">
        <f>IF(L110="Y",K110,J110)+N110</f>
        <v/>
      </c>
      <c r="P110" s="44" t="inlineStr">
        <is>
          <t>제다 이슬람항 통관: 사우디 ZATCA 철강재 관세 10%</t>
        </is>
      </c>
    </row>
    <row r="111" ht="15" customHeight="1" s="32">
      <c r="A111" s="37" t="inlineStr">
        <is>
          <t>PCM</t>
        </is>
      </c>
      <c r="B111" s="37" t="inlineStr">
        <is>
          <t>Steel</t>
        </is>
      </c>
      <c r="C111" s="39" t="inlineStr">
        <is>
          <t>PCM (컬러강판/도장강판)</t>
        </is>
      </c>
      <c r="D111" s="37" t="inlineStr">
        <is>
          <t>HS 7210.70</t>
        </is>
      </c>
      <c r="E111" s="37" t="inlineStr">
        <is>
          <t>US</t>
        </is>
      </c>
      <c r="F111" s="38" t="inlineStr">
        <is>
          <t>미국</t>
        </is>
      </c>
      <c r="G111" s="37" t="inlineStr">
        <is>
          <t>BR</t>
        </is>
      </c>
      <c r="H111" s="38" t="inlineStr">
        <is>
          <t>브라질 (마나우스)</t>
        </is>
      </c>
      <c r="I111" s="38" t="inlineStr">
        <is>
          <t>마나우스항 (Porto de Manaus / Chibatao) (BRMAO)</t>
        </is>
      </c>
      <c r="J111" s="49" t="n">
        <v>0.144</v>
      </c>
      <c r="K111" s="49" t="n">
        <v>0.144</v>
      </c>
      <c r="L111" s="37" t="inlineStr">
        <is>
          <t>N</t>
        </is>
      </c>
      <c r="M111" s="39" t="inlineStr">
        <is>
          <t>-</t>
        </is>
      </c>
      <c r="N111" s="49" t="n">
        <v>0</v>
      </c>
      <c r="O111" s="50">
        <f>IF(L111="Y",K111,J111)+N111</f>
        <v/>
      </c>
      <c r="P111" s="38" t="inlineStr">
        <is>
          <t>마나우스항 통관: 중국·인도산 AD 미대상 (마나우스 자유무역지대 ZFM 88% 감면 시 1.73%)</t>
        </is>
      </c>
    </row>
    <row r="112" ht="15" customHeight="1" s="32">
      <c r="A112" s="43" t="inlineStr">
        <is>
          <t>PCM</t>
        </is>
      </c>
      <c r="B112" s="43" t="inlineStr">
        <is>
          <t>Steel</t>
        </is>
      </c>
      <c r="C112" s="45" t="inlineStr">
        <is>
          <t>PCM (컬러강판/도장강판)</t>
        </is>
      </c>
      <c r="D112" s="43" t="inlineStr">
        <is>
          <t>HS 7210.70</t>
        </is>
      </c>
      <c r="E112" s="43" t="inlineStr">
        <is>
          <t>US</t>
        </is>
      </c>
      <c r="F112" s="44" t="inlineStr">
        <is>
          <t>미국</t>
        </is>
      </c>
      <c r="G112" s="43" t="inlineStr">
        <is>
          <t>EG</t>
        </is>
      </c>
      <c r="H112" s="44" t="inlineStr">
        <is>
          <t>이집트 (카이로)</t>
        </is>
      </c>
      <c r="I112" s="44" t="inlineStr">
        <is>
          <t>아인소크나항 (Ain Sokhna) / 알렉산드리아항 (EGSOK / EGALY)</t>
        </is>
      </c>
      <c r="J112" s="51" t="n">
        <v>0.12</v>
      </c>
      <c r="K112" s="51" t="n">
        <v>0.12</v>
      </c>
      <c r="L112" s="43" t="inlineStr">
        <is>
          <t>N</t>
        </is>
      </c>
      <c r="M112" s="45" t="inlineStr">
        <is>
          <t>-</t>
        </is>
      </c>
      <c r="N112" s="51" t="n">
        <v>0</v>
      </c>
      <c r="O112" s="52">
        <f>IF(L112="Y",K112,J112)+N112</f>
        <v/>
      </c>
      <c r="P112" s="44" t="inlineStr">
        <is>
          <t>알렉산드리아항(EGALY)-&gt;카이로: 이집트 HS 7210 도금/도장강판 기본 MFN 12% 적용</t>
        </is>
      </c>
    </row>
    <row r="113" ht="15" customHeight="1" s="32">
      <c r="A113" s="37" t="inlineStr">
        <is>
          <t>PCM</t>
        </is>
      </c>
      <c r="B113" s="37" t="inlineStr">
        <is>
          <t>Steel</t>
        </is>
      </c>
      <c r="C113" s="39" t="inlineStr">
        <is>
          <t>PCM (컬러강판/도장강판)</t>
        </is>
      </c>
      <c r="D113" s="37" t="inlineStr">
        <is>
          <t>HS 7210.70</t>
        </is>
      </c>
      <c r="E113" s="37" t="inlineStr">
        <is>
          <t>US</t>
        </is>
      </c>
      <c r="F113" s="38" t="inlineStr">
        <is>
          <t>미국</t>
        </is>
      </c>
      <c r="G113" s="37" t="inlineStr">
        <is>
          <t>US</t>
        </is>
      </c>
      <c r="H113" s="38" t="inlineStr">
        <is>
          <t>미국 (클락스빌)</t>
        </is>
      </c>
      <c r="I113" s="38" t="inlineStr">
        <is>
          <t>서배너항 (Savannah) / 찰스턴항 + 철도Ramp (USSAV / USCHS)</t>
        </is>
      </c>
      <c r="J113" s="49" t="n">
        <v>0</v>
      </c>
      <c r="K113" s="49" t="n">
        <v>0</v>
      </c>
      <c r="L113" s="37" t="inlineStr">
        <is>
          <t>N</t>
        </is>
      </c>
      <c r="M113" s="38" t="inlineStr">
        <is>
          <t>내수 조달 (관세 없음)</t>
        </is>
      </c>
      <c r="N113" s="49" t="n">
        <v>0</v>
      </c>
      <c r="O113" s="50">
        <f>IF(L113="Y",K113,J113)+N113</f>
        <v/>
      </c>
      <c r="P113" s="38" t="inlineStr">
        <is>
          <t>동일 국가 내 조달 (클락스빌 (Clarksville, TN) 직송, 수입관세 면제)</t>
        </is>
      </c>
    </row>
    <row r="114" ht="15" customHeight="1" s="32">
      <c r="A114" s="43" t="inlineStr">
        <is>
          <t>PCM</t>
        </is>
      </c>
      <c r="B114" s="43" t="inlineStr">
        <is>
          <t>Steel</t>
        </is>
      </c>
      <c r="C114" s="45" t="inlineStr">
        <is>
          <t>PCM (컬러강판/도장강판)</t>
        </is>
      </c>
      <c r="D114" s="43" t="inlineStr">
        <is>
          <t>HS 7210.70</t>
        </is>
      </c>
      <c r="E114" s="43" t="inlineStr">
        <is>
          <t>US</t>
        </is>
      </c>
      <c r="F114" s="44" t="inlineStr">
        <is>
          <t>미국</t>
        </is>
      </c>
      <c r="G114" s="43" t="inlineStr">
        <is>
          <t>NO</t>
        </is>
      </c>
      <c r="H114" s="44" t="inlineStr">
        <is>
          <t>노르웨이 (오슬로)</t>
        </is>
      </c>
      <c r="I114" s="44" t="inlineStr">
        <is>
          <t>오슬로항 (Port of Oslo) (NOOSL)</t>
        </is>
      </c>
      <c r="J114" s="51" t="n">
        <v>0</v>
      </c>
      <c r="K114" s="51" t="n">
        <v>0</v>
      </c>
      <c r="L114" s="43" t="inlineStr">
        <is>
          <t>N</t>
        </is>
      </c>
      <c r="M114" s="44" t="inlineStr">
        <is>
          <t>노르웨이 공산품 무관세 (한-EFTA 등)</t>
        </is>
      </c>
      <c r="N114" s="51" t="n">
        <v>0</v>
      </c>
      <c r="O114" s="52">
        <f>IF(L114="Y",K114,J114)+N114</f>
        <v/>
      </c>
      <c r="P114" s="44" t="inlineStr">
        <is>
          <t>오슬로항(NOOSL) 통관: 노르웨이 관세청(Tolltariffen) 철강·합성수지 전 품목 MFN 0% 무관세</t>
        </is>
      </c>
    </row>
    <row r="115" ht="15" customHeight="1" s="32">
      <c r="A115" s="37" t="inlineStr">
        <is>
          <t>ABS</t>
        </is>
      </c>
      <c r="B115" s="37" t="inlineStr">
        <is>
          <t>Resin</t>
        </is>
      </c>
      <c r="C115" s="39" t="inlineStr">
        <is>
          <t>ABS (고기능성 합성수지)</t>
        </is>
      </c>
      <c r="D115" s="37" t="inlineStr">
        <is>
          <t>HS 3903.30</t>
        </is>
      </c>
      <c r="E115" s="37" t="inlineStr">
        <is>
          <t>KR</t>
        </is>
      </c>
      <c r="F115" s="38" t="inlineStr">
        <is>
          <t>한국</t>
        </is>
      </c>
      <c r="G115" s="37" t="inlineStr">
        <is>
          <t>KR</t>
        </is>
      </c>
      <c r="H115" s="38" t="inlineStr">
        <is>
          <t>한국 (부산)</t>
        </is>
      </c>
      <c r="I115" s="38" t="inlineStr">
        <is>
          <t>부산항 (Port of Busan) (KRPUS)</t>
        </is>
      </c>
      <c r="J115" s="49" t="n">
        <v>0</v>
      </c>
      <c r="K115" s="49" t="n">
        <v>0</v>
      </c>
      <c r="L115" s="37" t="inlineStr">
        <is>
          <t>N</t>
        </is>
      </c>
      <c r="M115" s="38" t="inlineStr">
        <is>
          <t>내수 조달 (관세 없음)</t>
        </is>
      </c>
      <c r="N115" s="49" t="n">
        <v>0</v>
      </c>
      <c r="O115" s="50">
        <f>IF(L115="Y",K115,J115)+N115</f>
        <v/>
      </c>
      <c r="P115" s="38" t="inlineStr">
        <is>
          <t>동일 국가 내 조달 (부산 (Busan) 직송, 수입관세 면제)</t>
        </is>
      </c>
    </row>
    <row r="116" ht="15" customHeight="1" s="32">
      <c r="A116" s="43" t="inlineStr">
        <is>
          <t>ABS</t>
        </is>
      </c>
      <c r="B116" s="43" t="inlineStr">
        <is>
          <t>Resin</t>
        </is>
      </c>
      <c r="C116" s="45" t="inlineStr">
        <is>
          <t>ABS (고기능성 합성수지)</t>
        </is>
      </c>
      <c r="D116" s="43" t="inlineStr">
        <is>
          <t>HS 3903.30</t>
        </is>
      </c>
      <c r="E116" s="43" t="inlineStr">
        <is>
          <t>KR</t>
        </is>
      </c>
      <c r="F116" s="44" t="inlineStr">
        <is>
          <t>한국</t>
        </is>
      </c>
      <c r="G116" s="43" t="inlineStr">
        <is>
          <t>CN</t>
        </is>
      </c>
      <c r="H116" s="44" t="inlineStr">
        <is>
          <t>중국 (천진)</t>
        </is>
      </c>
      <c r="I116" s="44" t="inlineStr">
        <is>
          <t>천진 신강항 (Tianjin Xingang) (CNTSN)</t>
        </is>
      </c>
      <c r="J116" s="51" t="n">
        <v>0.065</v>
      </c>
      <c r="K116" s="51" t="n">
        <v>0.045</v>
      </c>
      <c r="L116" s="43" t="inlineStr">
        <is>
          <t>Y</t>
        </is>
      </c>
      <c r="M116" s="44" t="inlineStr">
        <is>
          <t>한-중 FTA / RCEP</t>
        </is>
      </c>
      <c r="N116" s="51" t="n">
        <v>0</v>
      </c>
      <c r="O116" s="52">
        <f>IF(L116="Y",K116,J116)+N116</f>
        <v/>
      </c>
      <c r="P116" s="44" t="inlineStr">
        <is>
          <t>천진 신강항 통관: 한-중 FTA/RCEP 양허세율</t>
        </is>
      </c>
    </row>
    <row r="117" ht="15" customHeight="1" s="32">
      <c r="A117" s="37" t="inlineStr">
        <is>
          <t>ABS</t>
        </is>
      </c>
      <c r="B117" s="37" t="inlineStr">
        <is>
          <t>Resin</t>
        </is>
      </c>
      <c r="C117" s="39" t="inlineStr">
        <is>
          <t>ABS (고기능성 합성수지)</t>
        </is>
      </c>
      <c r="D117" s="37" t="inlineStr">
        <is>
          <t>HS 3903.30</t>
        </is>
      </c>
      <c r="E117" s="37" t="inlineStr">
        <is>
          <t>KR</t>
        </is>
      </c>
      <c r="F117" s="38" t="inlineStr">
        <is>
          <t>한국</t>
        </is>
      </c>
      <c r="G117" s="37" t="inlineStr">
        <is>
          <t>IN_NOI</t>
        </is>
      </c>
      <c r="H117" s="38" t="inlineStr">
        <is>
          <t>인도 (노이다)</t>
        </is>
      </c>
      <c r="I117" s="38" t="inlineStr">
        <is>
          <t>문드라항 (Mundra) + ICD 다드리 (INMUN-&gt;INDAD)</t>
        </is>
      </c>
      <c r="J117" s="49" t="n">
        <v>0.0825</v>
      </c>
      <c r="K117" s="49" t="n">
        <v>0</v>
      </c>
      <c r="L117" s="37" t="inlineStr">
        <is>
          <t>Y</t>
        </is>
      </c>
      <c r="M117" s="38" t="inlineStr">
        <is>
          <t>한-인도 CEPA</t>
        </is>
      </c>
      <c r="N117" s="49" t="n">
        <v>0</v>
      </c>
      <c r="O117" s="50">
        <f>IF(L117="Y",K117,J117)+N117</f>
        <v/>
      </c>
      <c r="P117" s="38" t="inlineStr">
        <is>
          <t>문드라항-&gt;ICD 다드리(노이다) 통관: 한-인도 CEPA 합성수지 양허세율 적용</t>
        </is>
      </c>
    </row>
    <row r="118" ht="15" customHeight="1" s="32">
      <c r="A118" s="43" t="inlineStr">
        <is>
          <t>ABS</t>
        </is>
      </c>
      <c r="B118" s="43" t="inlineStr">
        <is>
          <t>Resin</t>
        </is>
      </c>
      <c r="C118" s="45" t="inlineStr">
        <is>
          <t>ABS (고기능성 합성수지)</t>
        </is>
      </c>
      <c r="D118" s="43" t="inlineStr">
        <is>
          <t>HS 3903.30</t>
        </is>
      </c>
      <c r="E118" s="43" t="inlineStr">
        <is>
          <t>KR</t>
        </is>
      </c>
      <c r="F118" s="44" t="inlineStr">
        <is>
          <t>한국</t>
        </is>
      </c>
      <c r="G118" s="43" t="inlineStr">
        <is>
          <t>IN_PUN</t>
        </is>
      </c>
      <c r="H118" s="44" t="inlineStr">
        <is>
          <t>인도 (푸네)</t>
        </is>
      </c>
      <c r="I118" s="44" t="inlineStr">
        <is>
          <t>나바셰바항 (JNPT Mumbai) (INNSA)</t>
        </is>
      </c>
      <c r="J118" s="51" t="n">
        <v>0.0825</v>
      </c>
      <c r="K118" s="51" t="n">
        <v>0</v>
      </c>
      <c r="L118" s="43" t="inlineStr">
        <is>
          <t>Y</t>
        </is>
      </c>
      <c r="M118" s="44" t="inlineStr">
        <is>
          <t>한-인도 CEPA</t>
        </is>
      </c>
      <c r="N118" s="51" t="n">
        <v>0</v>
      </c>
      <c r="O118" s="52">
        <f>IF(L118="Y",K118,J118)+N118</f>
        <v/>
      </c>
      <c r="P118" s="44" t="inlineStr">
        <is>
          <t>나바셰바항(푸네) 통관: 한-인도 CEPA 합성수지 양허세율 적용</t>
        </is>
      </c>
    </row>
    <row r="119" ht="15" customHeight="1" s="32">
      <c r="A119" s="37" t="inlineStr">
        <is>
          <t>ABS</t>
        </is>
      </c>
      <c r="B119" s="37" t="inlineStr">
        <is>
          <t>Resin</t>
        </is>
      </c>
      <c r="C119" s="39" t="inlineStr">
        <is>
          <t>ABS (고기능성 합성수지)</t>
        </is>
      </c>
      <c r="D119" s="37" t="inlineStr">
        <is>
          <t>HS 3903.30</t>
        </is>
      </c>
      <c r="E119" s="37" t="inlineStr">
        <is>
          <t>KR</t>
        </is>
      </c>
      <c r="F119" s="38" t="inlineStr">
        <is>
          <t>한국</t>
        </is>
      </c>
      <c r="G119" s="37" t="inlineStr">
        <is>
          <t>TH</t>
        </is>
      </c>
      <c r="H119" s="38" t="inlineStr">
        <is>
          <t>태국 (람차방)</t>
        </is>
      </c>
      <c r="I119" s="38" t="inlineStr">
        <is>
          <t>람차방항 (Laem Chabang) (THLCH)</t>
        </is>
      </c>
      <c r="J119" s="49" t="n">
        <v>0.05</v>
      </c>
      <c r="K119" s="49" t="n">
        <v>0</v>
      </c>
      <c r="L119" s="37" t="inlineStr">
        <is>
          <t>Y</t>
        </is>
      </c>
      <c r="M119" s="39" t="inlineStr">
        <is>
          <t>ASEAN FTA / RCEP</t>
        </is>
      </c>
      <c r="N119" s="49" t="n">
        <v>0</v>
      </c>
      <c r="O119" s="50">
        <f>IF(L119="Y",K119,J119)+N119</f>
        <v/>
      </c>
      <c r="P119" s="38" t="inlineStr">
        <is>
          <t>람차방항 통관: 아세안 역외 FTA 합성수지 0% 양허</t>
        </is>
      </c>
    </row>
    <row r="120" ht="15" customHeight="1" s="32">
      <c r="A120" s="43" t="inlineStr">
        <is>
          <t>ABS</t>
        </is>
      </c>
      <c r="B120" s="43" t="inlineStr">
        <is>
          <t>Resin</t>
        </is>
      </c>
      <c r="C120" s="45" t="inlineStr">
        <is>
          <t>ABS (고기능성 합성수지)</t>
        </is>
      </c>
      <c r="D120" s="43" t="inlineStr">
        <is>
          <t>HS 3903.30</t>
        </is>
      </c>
      <c r="E120" s="43" t="inlineStr">
        <is>
          <t>KR</t>
        </is>
      </c>
      <c r="F120" s="44" t="inlineStr">
        <is>
          <t>한국</t>
        </is>
      </c>
      <c r="G120" s="43" t="inlineStr">
        <is>
          <t>ID</t>
        </is>
      </c>
      <c r="H120" s="44" t="inlineStr">
        <is>
          <t>인니 (자카르타)</t>
        </is>
      </c>
      <c r="I120" s="44" t="inlineStr">
        <is>
          <t>탄중프리옥항 (Tanjung Priok) (IDJKT)</t>
        </is>
      </c>
      <c r="J120" s="51" t="n">
        <v>0.1</v>
      </c>
      <c r="K120" s="51" t="n">
        <v>0</v>
      </c>
      <c r="L120" s="43" t="inlineStr">
        <is>
          <t>Y</t>
        </is>
      </c>
      <c r="M120" s="44" t="inlineStr">
        <is>
          <t>한-인니 CEPA / AKFTA</t>
        </is>
      </c>
      <c r="N120" s="51" t="n">
        <v>0</v>
      </c>
      <c r="O120" s="52">
        <f>IF(L120="Y",K120,J120)+N120</f>
        <v/>
      </c>
      <c r="P120" s="44" t="inlineStr">
        <is>
          <t>탄중프리옥항 통관: IK-CEPA 및 한-아세안 FTA 0%</t>
        </is>
      </c>
    </row>
    <row r="121" ht="15" customHeight="1" s="32">
      <c r="A121" s="37" t="inlineStr">
        <is>
          <t>ABS</t>
        </is>
      </c>
      <c r="B121" s="37" t="inlineStr">
        <is>
          <t>Resin</t>
        </is>
      </c>
      <c r="C121" s="39" t="inlineStr">
        <is>
          <t>ABS (고기능성 합성수지)</t>
        </is>
      </c>
      <c r="D121" s="37" t="inlineStr">
        <is>
          <t>HS 3903.30</t>
        </is>
      </c>
      <c r="E121" s="37" t="inlineStr">
        <is>
          <t>KR</t>
        </is>
      </c>
      <c r="F121" s="38" t="inlineStr">
        <is>
          <t>한국</t>
        </is>
      </c>
      <c r="G121" s="37" t="inlineStr">
        <is>
          <t>SA</t>
        </is>
      </c>
      <c r="H121" s="38" t="inlineStr">
        <is>
          <t>사우디 (제다)</t>
        </is>
      </c>
      <c r="I121" s="38" t="inlineStr">
        <is>
          <t>제다 이슬람항 (Jeddah Islamic Port) (SAJED)</t>
        </is>
      </c>
      <c r="J121" s="49" t="n">
        <v>0.05</v>
      </c>
      <c r="K121" s="49" t="n">
        <v>0</v>
      </c>
      <c r="L121" s="37" t="inlineStr">
        <is>
          <t>Y</t>
        </is>
      </c>
      <c r="M121" s="38" t="inlineStr">
        <is>
          <t>한-GCC FTA</t>
        </is>
      </c>
      <c r="N121" s="49" t="n">
        <v>0</v>
      </c>
      <c r="O121" s="50">
        <f>IF(L121="Y",K121,J121)+N121</f>
        <v/>
      </c>
      <c r="P121" s="38" t="inlineStr">
        <is>
          <t>제다 이슬람항 통관: 한-GCC FTA 합성수지 양허 혜택</t>
        </is>
      </c>
    </row>
    <row r="122" ht="15" customHeight="1" s="32">
      <c r="A122" s="43" t="inlineStr">
        <is>
          <t>ABS</t>
        </is>
      </c>
      <c r="B122" s="43" t="inlineStr">
        <is>
          <t>Resin</t>
        </is>
      </c>
      <c r="C122" s="45" t="inlineStr">
        <is>
          <t>ABS (고기능성 합성수지)</t>
        </is>
      </c>
      <c r="D122" s="43" t="inlineStr">
        <is>
          <t>HS 3903.30</t>
        </is>
      </c>
      <c r="E122" s="43" t="inlineStr">
        <is>
          <t>KR</t>
        </is>
      </c>
      <c r="F122" s="44" t="inlineStr">
        <is>
          <t>한국</t>
        </is>
      </c>
      <c r="G122" s="43" t="inlineStr">
        <is>
          <t>BR</t>
        </is>
      </c>
      <c r="H122" s="44" t="inlineStr">
        <is>
          <t>브라질 (마나우스)</t>
        </is>
      </c>
      <c r="I122" s="44" t="inlineStr">
        <is>
          <t>마나우스항 (Porto de Manaus / Chibatao) (BRMAO)</t>
        </is>
      </c>
      <c r="J122" s="51" t="n">
        <v>0.126</v>
      </c>
      <c r="K122" s="51" t="n">
        <v>0.126</v>
      </c>
      <c r="L122" s="43" t="inlineStr">
        <is>
          <t>N</t>
        </is>
      </c>
      <c r="M122" s="45" t="inlineStr">
        <is>
          <t>-</t>
        </is>
      </c>
      <c r="N122" s="51" t="n">
        <v>0</v>
      </c>
      <c r="O122" s="52">
        <f>IF(L122="Y",K122,J122)+N122</f>
        <v/>
      </c>
      <c r="P122" s="44" t="inlineStr">
        <is>
          <t>마나우스항 통관: Mercosur TEC 12.6% (마나우스 ZFM 88% 감면 시 1.51%)</t>
        </is>
      </c>
    </row>
    <row r="123" ht="15" customHeight="1" s="32">
      <c r="A123" s="37" t="inlineStr">
        <is>
          <t>ABS</t>
        </is>
      </c>
      <c r="B123" s="37" t="inlineStr">
        <is>
          <t>Resin</t>
        </is>
      </c>
      <c r="C123" s="39" t="inlineStr">
        <is>
          <t>ABS (고기능성 합성수지)</t>
        </is>
      </c>
      <c r="D123" s="37" t="inlineStr">
        <is>
          <t>HS 3903.30</t>
        </is>
      </c>
      <c r="E123" s="37" t="inlineStr">
        <is>
          <t>KR</t>
        </is>
      </c>
      <c r="F123" s="38" t="inlineStr">
        <is>
          <t>한국</t>
        </is>
      </c>
      <c r="G123" s="37" t="inlineStr">
        <is>
          <t>EG</t>
        </is>
      </c>
      <c r="H123" s="38" t="inlineStr">
        <is>
          <t>이집트 (카이로)</t>
        </is>
      </c>
      <c r="I123" s="38" t="inlineStr">
        <is>
          <t>아인소크나항 (Ain Sokhna) / 알렉산드리아항 (EGSOK / EGALY)</t>
        </is>
      </c>
      <c r="J123" s="49" t="n">
        <v>0.05</v>
      </c>
      <c r="K123" s="49" t="n">
        <v>0.05</v>
      </c>
      <c r="L123" s="37" t="inlineStr">
        <is>
          <t>N</t>
        </is>
      </c>
      <c r="M123" s="39" t="inlineStr">
        <is>
          <t>-</t>
        </is>
      </c>
      <c r="N123" s="49" t="n">
        <v>0</v>
      </c>
      <c r="O123" s="50">
        <f>IF(L123="Y",K123,J123)+N123</f>
        <v/>
      </c>
      <c r="P123" s="38" t="inlineStr">
        <is>
          <t>아인소크나항(EGSOK)-&gt;카이로: 이집트 합성수지(HS 3902/3903) MFN 기본관세 5.0% 적용</t>
        </is>
      </c>
    </row>
    <row r="124" ht="15" customHeight="1" s="32">
      <c r="A124" s="43" t="inlineStr">
        <is>
          <t>ABS</t>
        </is>
      </c>
      <c r="B124" s="43" t="inlineStr">
        <is>
          <t>Resin</t>
        </is>
      </c>
      <c r="C124" s="45" t="inlineStr">
        <is>
          <t>ABS (고기능성 합성수지)</t>
        </is>
      </c>
      <c r="D124" s="43" t="inlineStr">
        <is>
          <t>HS 3903.30</t>
        </is>
      </c>
      <c r="E124" s="43" t="inlineStr">
        <is>
          <t>KR</t>
        </is>
      </c>
      <c r="F124" s="44" t="inlineStr">
        <is>
          <t>한국</t>
        </is>
      </c>
      <c r="G124" s="43" t="inlineStr">
        <is>
          <t>US</t>
        </is>
      </c>
      <c r="H124" s="44" t="inlineStr">
        <is>
          <t>미국 (클락스빌)</t>
        </is>
      </c>
      <c r="I124" s="44" t="inlineStr">
        <is>
          <t>서배너항 (Savannah) / 찰스턴항 + 철도Ramp (USSAV / USCHS)</t>
        </is>
      </c>
      <c r="J124" s="51" t="n">
        <v>0.065</v>
      </c>
      <c r="K124" s="51" t="n">
        <v>0</v>
      </c>
      <c r="L124" s="43" t="inlineStr">
        <is>
          <t>Y</t>
        </is>
      </c>
      <c r="M124" s="44" t="inlineStr">
        <is>
          <t>한-미 FTA (KORUS)</t>
        </is>
      </c>
      <c r="N124" s="51" t="n">
        <v>0.125</v>
      </c>
      <c r="O124" s="52">
        <f>IF(L124="Y",K124,J124)+N124</f>
        <v/>
      </c>
      <c r="P124" s="44" t="inlineStr">
        <is>
          <t>서배너항-&gt;클락스빌: KORUS 기본 0%이나 2026.7 발효 미국 301조(9903.05.71)로 총 관세 12.5% 상한</t>
        </is>
      </c>
    </row>
    <row r="125" ht="15" customHeight="1" s="32">
      <c r="A125" s="37" t="inlineStr">
        <is>
          <t>ABS</t>
        </is>
      </c>
      <c r="B125" s="37" t="inlineStr">
        <is>
          <t>Resin</t>
        </is>
      </c>
      <c r="C125" s="39" t="inlineStr">
        <is>
          <t>ABS (고기능성 합성수지)</t>
        </is>
      </c>
      <c r="D125" s="37" t="inlineStr">
        <is>
          <t>HS 3903.30</t>
        </is>
      </c>
      <c r="E125" s="37" t="inlineStr">
        <is>
          <t>KR</t>
        </is>
      </c>
      <c r="F125" s="38" t="inlineStr">
        <is>
          <t>한국</t>
        </is>
      </c>
      <c r="G125" s="37" t="inlineStr">
        <is>
          <t>NO</t>
        </is>
      </c>
      <c r="H125" s="38" t="inlineStr">
        <is>
          <t>노르웨이 (오슬로)</t>
        </is>
      </c>
      <c r="I125" s="38" t="inlineStr">
        <is>
          <t>오슬로항 (Port of Oslo) (NOOSL)</t>
        </is>
      </c>
      <c r="J125" s="49" t="n">
        <v>0</v>
      </c>
      <c r="K125" s="49" t="n">
        <v>0</v>
      </c>
      <c r="L125" s="37" t="inlineStr">
        <is>
          <t>N</t>
        </is>
      </c>
      <c r="M125" s="38" t="inlineStr">
        <is>
          <t>노르웨이 공산품 무관세 (한-EFTA 등)</t>
        </is>
      </c>
      <c r="N125" s="49" t="n">
        <v>0</v>
      </c>
      <c r="O125" s="50">
        <f>IF(L125="Y",K125,J125)+N125</f>
        <v/>
      </c>
      <c r="P125" s="38" t="inlineStr">
        <is>
          <t>오슬로항(NOOSL) 통관: 노르웨이 관세청(Tolltariffen) 철강·합성수지 전 품목 MFN 0% 무관세</t>
        </is>
      </c>
    </row>
    <row r="126" ht="15" customHeight="1" s="32">
      <c r="A126" s="43" t="inlineStr">
        <is>
          <t>ABS</t>
        </is>
      </c>
      <c r="B126" s="43" t="inlineStr">
        <is>
          <t>Resin</t>
        </is>
      </c>
      <c r="C126" s="45" t="inlineStr">
        <is>
          <t>ABS (고기능성 합성수지)</t>
        </is>
      </c>
      <c r="D126" s="43" t="inlineStr">
        <is>
          <t>HS 3903.30</t>
        </is>
      </c>
      <c r="E126" s="43" t="inlineStr">
        <is>
          <t>CN</t>
        </is>
      </c>
      <c r="F126" s="44" t="inlineStr">
        <is>
          <t>중국</t>
        </is>
      </c>
      <c r="G126" s="43" t="inlineStr">
        <is>
          <t>KR</t>
        </is>
      </c>
      <c r="H126" s="44" t="inlineStr">
        <is>
          <t>한국 (부산)</t>
        </is>
      </c>
      <c r="I126" s="44" t="inlineStr">
        <is>
          <t>부산항 (Port of Busan) (KRPUS)</t>
        </is>
      </c>
      <c r="J126" s="51" t="n">
        <v>0.065</v>
      </c>
      <c r="K126" s="51" t="n">
        <v>0.032</v>
      </c>
      <c r="L126" s="43" t="inlineStr">
        <is>
          <t>Y</t>
        </is>
      </c>
      <c r="M126" s="44" t="inlineStr">
        <is>
          <t>한-중 FTA / RCEP</t>
        </is>
      </c>
      <c r="N126" s="51" t="n">
        <v>0</v>
      </c>
      <c r="O126" s="52">
        <f>IF(L126="Y",K126,J126)+N126</f>
        <v/>
      </c>
      <c r="P126" s="44" t="inlineStr">
        <is>
          <t>부산항 통관: 한-중 FTA 및 RCEP 양허세율 적용</t>
        </is>
      </c>
    </row>
    <row r="127" ht="15" customHeight="1" s="32">
      <c r="A127" s="37" t="inlineStr">
        <is>
          <t>ABS</t>
        </is>
      </c>
      <c r="B127" s="37" t="inlineStr">
        <is>
          <t>Resin</t>
        </is>
      </c>
      <c r="C127" s="39" t="inlineStr">
        <is>
          <t>ABS (고기능성 합성수지)</t>
        </is>
      </c>
      <c r="D127" s="37" t="inlineStr">
        <is>
          <t>HS 3903.30</t>
        </is>
      </c>
      <c r="E127" s="37" t="inlineStr">
        <is>
          <t>CN</t>
        </is>
      </c>
      <c r="F127" s="38" t="inlineStr">
        <is>
          <t>중국</t>
        </is>
      </c>
      <c r="G127" s="37" t="inlineStr">
        <is>
          <t>CN</t>
        </is>
      </c>
      <c r="H127" s="38" t="inlineStr">
        <is>
          <t>중국 (천진)</t>
        </is>
      </c>
      <c r="I127" s="38" t="inlineStr">
        <is>
          <t>천진 신강항 (Tianjin Xingang) (CNTSN)</t>
        </is>
      </c>
      <c r="J127" s="49" t="n">
        <v>0</v>
      </c>
      <c r="K127" s="49" t="n">
        <v>0</v>
      </c>
      <c r="L127" s="37" t="inlineStr">
        <is>
          <t>N</t>
        </is>
      </c>
      <c r="M127" s="38" t="inlineStr">
        <is>
          <t>내수 조달 (관세 없음)</t>
        </is>
      </c>
      <c r="N127" s="49" t="n">
        <v>0</v>
      </c>
      <c r="O127" s="50">
        <f>IF(L127="Y",K127,J127)+N127</f>
        <v/>
      </c>
      <c r="P127" s="38" t="inlineStr">
        <is>
          <t>동일 국가 내 조달 (천진 (Tianjin) 직송, 수입관세 면제)</t>
        </is>
      </c>
    </row>
    <row r="128" ht="15" customHeight="1" s="32">
      <c r="A128" s="43" t="inlineStr">
        <is>
          <t>ABS</t>
        </is>
      </c>
      <c r="B128" s="43" t="inlineStr">
        <is>
          <t>Resin</t>
        </is>
      </c>
      <c r="C128" s="45" t="inlineStr">
        <is>
          <t>ABS (고기능성 합성수지)</t>
        </is>
      </c>
      <c r="D128" s="43" t="inlineStr">
        <is>
          <t>HS 3903.30</t>
        </is>
      </c>
      <c r="E128" s="43" t="inlineStr">
        <is>
          <t>CN</t>
        </is>
      </c>
      <c r="F128" s="44" t="inlineStr">
        <is>
          <t>중국</t>
        </is>
      </c>
      <c r="G128" s="43" t="inlineStr">
        <is>
          <t>IN_NOI</t>
        </is>
      </c>
      <c r="H128" s="44" t="inlineStr">
        <is>
          <t>인도 (노이다)</t>
        </is>
      </c>
      <c r="I128" s="44" t="inlineStr">
        <is>
          <t>문드라항 (Mundra) + ICD 다드리 (INMUN-&gt;INDAD)</t>
        </is>
      </c>
      <c r="J128" s="51" t="n">
        <v>0.0825</v>
      </c>
      <c r="K128" s="51" t="n">
        <v>0.0825</v>
      </c>
      <c r="L128" s="43" t="inlineStr">
        <is>
          <t>N</t>
        </is>
      </c>
      <c r="M128" s="45" t="inlineStr">
        <is>
          <t>-</t>
        </is>
      </c>
      <c r="N128" s="51" t="n">
        <v>0</v>
      </c>
      <c r="O128" s="52">
        <f>IF(L128="Y",K128,J128)+N128</f>
        <v/>
      </c>
      <c r="P128" s="45" t="inlineStr">
        <is>
          <t>WTO/WITS 일반 MFN 세율 적용</t>
        </is>
      </c>
    </row>
    <row r="129" ht="15" customHeight="1" s="32">
      <c r="A129" s="37" t="inlineStr">
        <is>
          <t>ABS</t>
        </is>
      </c>
      <c r="B129" s="37" t="inlineStr">
        <is>
          <t>Resin</t>
        </is>
      </c>
      <c r="C129" s="39" t="inlineStr">
        <is>
          <t>ABS (고기능성 합성수지)</t>
        </is>
      </c>
      <c r="D129" s="37" t="inlineStr">
        <is>
          <t>HS 3903.30</t>
        </is>
      </c>
      <c r="E129" s="37" t="inlineStr">
        <is>
          <t>CN</t>
        </is>
      </c>
      <c r="F129" s="38" t="inlineStr">
        <is>
          <t>중국</t>
        </is>
      </c>
      <c r="G129" s="37" t="inlineStr">
        <is>
          <t>IN_PUN</t>
        </is>
      </c>
      <c r="H129" s="38" t="inlineStr">
        <is>
          <t>인도 (푸네)</t>
        </is>
      </c>
      <c r="I129" s="38" t="inlineStr">
        <is>
          <t>나바셰바항 (JNPT Mumbai) (INNSA)</t>
        </is>
      </c>
      <c r="J129" s="49" t="n">
        <v>0.0825</v>
      </c>
      <c r="K129" s="49" t="n">
        <v>0.0825</v>
      </c>
      <c r="L129" s="37" t="inlineStr">
        <is>
          <t>N</t>
        </is>
      </c>
      <c r="M129" s="39" t="inlineStr">
        <is>
          <t>-</t>
        </is>
      </c>
      <c r="N129" s="49" t="n">
        <v>0</v>
      </c>
      <c r="O129" s="50">
        <f>IF(L129="Y",K129,J129)+N129</f>
        <v/>
      </c>
      <c r="P129" s="39" t="inlineStr">
        <is>
          <t>WTO/WITS 일반 MFN 세율 적용</t>
        </is>
      </c>
    </row>
    <row r="130" ht="15" customHeight="1" s="32">
      <c r="A130" s="43" t="inlineStr">
        <is>
          <t>ABS</t>
        </is>
      </c>
      <c r="B130" s="43" t="inlineStr">
        <is>
          <t>Resin</t>
        </is>
      </c>
      <c r="C130" s="45" t="inlineStr">
        <is>
          <t>ABS (고기능성 합성수지)</t>
        </is>
      </c>
      <c r="D130" s="43" t="inlineStr">
        <is>
          <t>HS 3903.30</t>
        </is>
      </c>
      <c r="E130" s="43" t="inlineStr">
        <is>
          <t>CN</t>
        </is>
      </c>
      <c r="F130" s="44" t="inlineStr">
        <is>
          <t>중국</t>
        </is>
      </c>
      <c r="G130" s="43" t="inlineStr">
        <is>
          <t>TH</t>
        </is>
      </c>
      <c r="H130" s="44" t="inlineStr">
        <is>
          <t>태국 (람차방)</t>
        </is>
      </c>
      <c r="I130" s="44" t="inlineStr">
        <is>
          <t>람차방항 (Laem Chabang) (THLCH)</t>
        </is>
      </c>
      <c r="J130" s="51" t="n">
        <v>0.05</v>
      </c>
      <c r="K130" s="51" t="n">
        <v>0</v>
      </c>
      <c r="L130" s="43" t="inlineStr">
        <is>
          <t>Y</t>
        </is>
      </c>
      <c r="M130" s="45" t="inlineStr">
        <is>
          <t>ASEAN FTA / RCEP</t>
        </is>
      </c>
      <c r="N130" s="51" t="n">
        <v>0</v>
      </c>
      <c r="O130" s="52">
        <f>IF(L130="Y",K130,J130)+N130</f>
        <v/>
      </c>
      <c r="P130" s="44" t="inlineStr">
        <is>
          <t>람차방항 통관: 아세안 역외 FTA 합성수지 0% 양허</t>
        </is>
      </c>
    </row>
    <row r="131" ht="15" customHeight="1" s="32">
      <c r="A131" s="37" t="inlineStr">
        <is>
          <t>ABS</t>
        </is>
      </c>
      <c r="B131" s="37" t="inlineStr">
        <is>
          <t>Resin</t>
        </is>
      </c>
      <c r="C131" s="39" t="inlineStr">
        <is>
          <t>ABS (고기능성 합성수지)</t>
        </is>
      </c>
      <c r="D131" s="37" t="inlineStr">
        <is>
          <t>HS 3903.30</t>
        </is>
      </c>
      <c r="E131" s="37" t="inlineStr">
        <is>
          <t>CN</t>
        </is>
      </c>
      <c r="F131" s="38" t="inlineStr">
        <is>
          <t>중국</t>
        </is>
      </c>
      <c r="G131" s="37" t="inlineStr">
        <is>
          <t>ID</t>
        </is>
      </c>
      <c r="H131" s="38" t="inlineStr">
        <is>
          <t>인니 (자카르타)</t>
        </is>
      </c>
      <c r="I131" s="38" t="inlineStr">
        <is>
          <t>탄중프리옥항 (Tanjung Priok) (IDJKT)</t>
        </is>
      </c>
      <c r="J131" s="49" t="n">
        <v>0.1</v>
      </c>
      <c r="K131" s="49" t="n">
        <v>0</v>
      </c>
      <c r="L131" s="37" t="inlineStr">
        <is>
          <t>Y</t>
        </is>
      </c>
      <c r="M131" s="38" t="inlineStr">
        <is>
          <t>중-ASEAN FTA (ACFTA)</t>
        </is>
      </c>
      <c r="N131" s="49" t="n">
        <v>0</v>
      </c>
      <c r="O131" s="50">
        <f>IF(L131="Y",K131,J131)+N131</f>
        <v/>
      </c>
      <c r="P131" s="38" t="inlineStr">
        <is>
          <t>탄중프리옥항 통관: ACFTA 0% 양허 적용</t>
        </is>
      </c>
    </row>
    <row r="132" ht="15" customHeight="1" s="32">
      <c r="A132" s="43" t="inlineStr">
        <is>
          <t>ABS</t>
        </is>
      </c>
      <c r="B132" s="43" t="inlineStr">
        <is>
          <t>Resin</t>
        </is>
      </c>
      <c r="C132" s="45" t="inlineStr">
        <is>
          <t>ABS (고기능성 합성수지)</t>
        </is>
      </c>
      <c r="D132" s="43" t="inlineStr">
        <is>
          <t>HS 3903.30</t>
        </is>
      </c>
      <c r="E132" s="43" t="inlineStr">
        <is>
          <t>CN</t>
        </is>
      </c>
      <c r="F132" s="44" t="inlineStr">
        <is>
          <t>중국</t>
        </is>
      </c>
      <c r="G132" s="43" t="inlineStr">
        <is>
          <t>SA</t>
        </is>
      </c>
      <c r="H132" s="44" t="inlineStr">
        <is>
          <t>사우디 (제다)</t>
        </is>
      </c>
      <c r="I132" s="44" t="inlineStr">
        <is>
          <t>제다 이슬람항 (Jeddah Islamic Port) (SAJED)</t>
        </is>
      </c>
      <c r="J132" s="51" t="n">
        <v>0.05</v>
      </c>
      <c r="K132" s="51" t="n">
        <v>0.05</v>
      </c>
      <c r="L132" s="43" t="inlineStr">
        <is>
          <t>N</t>
        </is>
      </c>
      <c r="M132" s="45" t="inlineStr">
        <is>
          <t>-</t>
        </is>
      </c>
      <c r="N132" s="51" t="n">
        <v>0</v>
      </c>
      <c r="O132" s="52">
        <f>IF(L132="Y",K132,J132)+N132</f>
        <v/>
      </c>
      <c r="P132" s="44" t="inlineStr">
        <is>
          <t>제다 이슬람항 통관: GCC 공동관세율(CET) 기본 5.0% 적용</t>
        </is>
      </c>
    </row>
    <row r="133" ht="15" customHeight="1" s="32">
      <c r="A133" s="37" t="inlineStr">
        <is>
          <t>ABS</t>
        </is>
      </c>
      <c r="B133" s="37" t="inlineStr">
        <is>
          <t>Resin</t>
        </is>
      </c>
      <c r="C133" s="39" t="inlineStr">
        <is>
          <t>ABS (고기능성 합성수지)</t>
        </is>
      </c>
      <c r="D133" s="37" t="inlineStr">
        <is>
          <t>HS 3903.30</t>
        </is>
      </c>
      <c r="E133" s="37" t="inlineStr">
        <is>
          <t>CN</t>
        </is>
      </c>
      <c r="F133" s="38" t="inlineStr">
        <is>
          <t>중국</t>
        </is>
      </c>
      <c r="G133" s="37" t="inlineStr">
        <is>
          <t>BR</t>
        </is>
      </c>
      <c r="H133" s="38" t="inlineStr">
        <is>
          <t>브라질 (마나우스)</t>
        </is>
      </c>
      <c r="I133" s="38" t="inlineStr">
        <is>
          <t>마나우스항 (Porto de Manaus / Chibatao) (BRMAO)</t>
        </is>
      </c>
      <c r="J133" s="49" t="n">
        <v>0.126</v>
      </c>
      <c r="K133" s="49" t="n">
        <v>0.126</v>
      </c>
      <c r="L133" s="37" t="inlineStr">
        <is>
          <t>N</t>
        </is>
      </c>
      <c r="M133" s="39" t="inlineStr">
        <is>
          <t>-</t>
        </is>
      </c>
      <c r="N133" s="49" t="n">
        <v>0</v>
      </c>
      <c r="O133" s="50">
        <f>IF(L133="Y",K133,J133)+N133</f>
        <v/>
      </c>
      <c r="P133" s="38" t="inlineStr">
        <is>
          <t>마나우스항 통관: Mercosur TEC 12.6% (마나우스 ZFM 88% 감면 시 1.51%)</t>
        </is>
      </c>
    </row>
    <row r="134" ht="15" customHeight="1" s="32">
      <c r="A134" s="43" t="inlineStr">
        <is>
          <t>ABS</t>
        </is>
      </c>
      <c r="B134" s="43" t="inlineStr">
        <is>
          <t>Resin</t>
        </is>
      </c>
      <c r="C134" s="45" t="inlineStr">
        <is>
          <t>ABS (고기능성 합성수지)</t>
        </is>
      </c>
      <c r="D134" s="43" t="inlineStr">
        <is>
          <t>HS 3903.30</t>
        </is>
      </c>
      <c r="E134" s="43" t="inlineStr">
        <is>
          <t>CN</t>
        </is>
      </c>
      <c r="F134" s="44" t="inlineStr">
        <is>
          <t>중국</t>
        </is>
      </c>
      <c r="G134" s="43" t="inlineStr">
        <is>
          <t>EG</t>
        </is>
      </c>
      <c r="H134" s="44" t="inlineStr">
        <is>
          <t>이집트 (카이로)</t>
        </is>
      </c>
      <c r="I134" s="44" t="inlineStr">
        <is>
          <t>아인소크나항 (Ain Sokhna) / 알렉산드리아항 (EGSOK / EGALY)</t>
        </is>
      </c>
      <c r="J134" s="51" t="n">
        <v>0.05</v>
      </c>
      <c r="K134" s="51" t="n">
        <v>0.05</v>
      </c>
      <c r="L134" s="43" t="inlineStr">
        <is>
          <t>N</t>
        </is>
      </c>
      <c r="M134" s="45" t="inlineStr">
        <is>
          <t>-</t>
        </is>
      </c>
      <c r="N134" s="51" t="n">
        <v>0</v>
      </c>
      <c r="O134" s="52">
        <f>IF(L134="Y",K134,J134)+N134</f>
        <v/>
      </c>
      <c r="P134" s="44" t="inlineStr">
        <is>
          <t>아인소크나항(EGSOK)-&gt;카이로: 이집트 합성수지(HS 3902/3903) MFN 기본관세 5.0% 적용</t>
        </is>
      </c>
    </row>
    <row r="135" ht="15" customHeight="1" s="32">
      <c r="A135" s="37" t="inlineStr">
        <is>
          <t>ABS</t>
        </is>
      </c>
      <c r="B135" s="37" t="inlineStr">
        <is>
          <t>Resin</t>
        </is>
      </c>
      <c r="C135" s="39" t="inlineStr">
        <is>
          <t>ABS (고기능성 합성수지)</t>
        </is>
      </c>
      <c r="D135" s="37" t="inlineStr">
        <is>
          <t>HS 3903.30</t>
        </is>
      </c>
      <c r="E135" s="37" t="inlineStr">
        <is>
          <t>CN</t>
        </is>
      </c>
      <c r="F135" s="38" t="inlineStr">
        <is>
          <t>중국</t>
        </is>
      </c>
      <c r="G135" s="37" t="inlineStr">
        <is>
          <t>US</t>
        </is>
      </c>
      <c r="H135" s="38" t="inlineStr">
        <is>
          <t>미국 (클락스빌)</t>
        </is>
      </c>
      <c r="I135" s="38" t="inlineStr">
        <is>
          <t>서배너항 (Savannah) / 찰스턴항 + 철도Ramp (USSAV / USCHS)</t>
        </is>
      </c>
      <c r="J135" s="49" t="n">
        <v>0.065</v>
      </c>
      <c r="K135" s="49" t="n">
        <v>0.065</v>
      </c>
      <c r="L135" s="37" t="inlineStr">
        <is>
          <t>N</t>
        </is>
      </c>
      <c r="M135" s="39" t="inlineStr">
        <is>
          <t>-</t>
        </is>
      </c>
      <c r="N135" s="49" t="n">
        <v>0.375</v>
      </c>
      <c r="O135" s="50">
        <f>IF(L135="Y",K135,J135)+N135</f>
        <v/>
      </c>
      <c r="P135" s="38" t="inlineStr">
        <is>
          <t>서배너항-&gt;클락스빌: MFN 6.5% + 대중국 301조 List 3(25%) + 2026.7 추가 301조(12.5%) 합산 44.0%</t>
        </is>
      </c>
    </row>
    <row r="136" ht="15" customHeight="1" s="32">
      <c r="A136" s="43" t="inlineStr">
        <is>
          <t>ABS</t>
        </is>
      </c>
      <c r="B136" s="43" t="inlineStr">
        <is>
          <t>Resin</t>
        </is>
      </c>
      <c r="C136" s="45" t="inlineStr">
        <is>
          <t>ABS (고기능성 합성수지)</t>
        </is>
      </c>
      <c r="D136" s="43" t="inlineStr">
        <is>
          <t>HS 3903.30</t>
        </is>
      </c>
      <c r="E136" s="43" t="inlineStr">
        <is>
          <t>CN</t>
        </is>
      </c>
      <c r="F136" s="44" t="inlineStr">
        <is>
          <t>중국</t>
        </is>
      </c>
      <c r="G136" s="43" t="inlineStr">
        <is>
          <t>NO</t>
        </is>
      </c>
      <c r="H136" s="44" t="inlineStr">
        <is>
          <t>노르웨이 (오슬로)</t>
        </is>
      </c>
      <c r="I136" s="44" t="inlineStr">
        <is>
          <t>오슬로항 (Port of Oslo) (NOOSL)</t>
        </is>
      </c>
      <c r="J136" s="51" t="n">
        <v>0</v>
      </c>
      <c r="K136" s="51" t="n">
        <v>0</v>
      </c>
      <c r="L136" s="43" t="inlineStr">
        <is>
          <t>N</t>
        </is>
      </c>
      <c r="M136" s="44" t="inlineStr">
        <is>
          <t>노르웨이 공산품 무관세 (한-EFTA 등)</t>
        </is>
      </c>
      <c r="N136" s="51" t="n">
        <v>0</v>
      </c>
      <c r="O136" s="52">
        <f>IF(L136="Y",K136,J136)+N136</f>
        <v/>
      </c>
      <c r="P136" s="44" t="inlineStr">
        <is>
          <t>오슬로항(NOOSL) 통관: 노르웨이 관세청(Tolltariffen) 철강·합성수지 전 품목 MFN 0% 무관세</t>
        </is>
      </c>
    </row>
    <row r="137" ht="15" customHeight="1" s="32">
      <c r="A137" s="37" t="inlineStr">
        <is>
          <t>ABS</t>
        </is>
      </c>
      <c r="B137" s="37" t="inlineStr">
        <is>
          <t>Resin</t>
        </is>
      </c>
      <c r="C137" s="39" t="inlineStr">
        <is>
          <t>ABS (고기능성 합성수지)</t>
        </is>
      </c>
      <c r="D137" s="37" t="inlineStr">
        <is>
          <t>HS 3903.30</t>
        </is>
      </c>
      <c r="E137" s="37" t="inlineStr">
        <is>
          <t>TH</t>
        </is>
      </c>
      <c r="F137" s="38" t="inlineStr">
        <is>
          <t>태국</t>
        </is>
      </c>
      <c r="G137" s="37" t="inlineStr">
        <is>
          <t>KR</t>
        </is>
      </c>
      <c r="H137" s="38" t="inlineStr">
        <is>
          <t>한국 (부산)</t>
        </is>
      </c>
      <c r="I137" s="38" t="inlineStr">
        <is>
          <t>부산항 (Port of Busan) (KRPUS)</t>
        </is>
      </c>
      <c r="J137" s="49" t="n">
        <v>0.065</v>
      </c>
      <c r="K137" s="49" t="n">
        <v>0</v>
      </c>
      <c r="L137" s="37" t="inlineStr">
        <is>
          <t>Y</t>
        </is>
      </c>
      <c r="M137" s="38" t="inlineStr">
        <is>
          <t>한-ASEAN FTA / RCEP</t>
        </is>
      </c>
      <c r="N137" s="49" t="n">
        <v>0</v>
      </c>
      <c r="O137" s="50">
        <f>IF(L137="Y",K137,J137)+N137</f>
        <v/>
      </c>
      <c r="P137" s="38" t="inlineStr">
        <is>
          <t>부산항 통관: 한-아세안 FTA 0% 양허</t>
        </is>
      </c>
    </row>
    <row r="138" ht="15" customHeight="1" s="32">
      <c r="A138" s="43" t="inlineStr">
        <is>
          <t>ABS</t>
        </is>
      </c>
      <c r="B138" s="43" t="inlineStr">
        <is>
          <t>Resin</t>
        </is>
      </c>
      <c r="C138" s="45" t="inlineStr">
        <is>
          <t>ABS (고기능성 합성수지)</t>
        </is>
      </c>
      <c r="D138" s="43" t="inlineStr">
        <is>
          <t>HS 3903.30</t>
        </is>
      </c>
      <c r="E138" s="43" t="inlineStr">
        <is>
          <t>TH</t>
        </is>
      </c>
      <c r="F138" s="44" t="inlineStr">
        <is>
          <t>태국</t>
        </is>
      </c>
      <c r="G138" s="43" t="inlineStr">
        <is>
          <t>CN</t>
        </is>
      </c>
      <c r="H138" s="44" t="inlineStr">
        <is>
          <t>중국 (천진)</t>
        </is>
      </c>
      <c r="I138" s="44" t="inlineStr">
        <is>
          <t>천진 신강항 (Tianjin Xingang) (CNTSN)</t>
        </is>
      </c>
      <c r="J138" s="51" t="n">
        <v>0.065</v>
      </c>
      <c r="K138" s="51" t="n">
        <v>0</v>
      </c>
      <c r="L138" s="43" t="inlineStr">
        <is>
          <t>Y</t>
        </is>
      </c>
      <c r="M138" s="44" t="inlineStr">
        <is>
          <t>중-ASEAN FTA (ACFTA)</t>
        </is>
      </c>
      <c r="N138" s="51" t="n">
        <v>0</v>
      </c>
      <c r="O138" s="52">
        <f>IF(L138="Y",K138,J138)+N138</f>
        <v/>
      </c>
      <c r="P138" s="44" t="inlineStr">
        <is>
          <t>천진 신강항 통관: 중-아세안 FTA 합성수지 0% 무관세</t>
        </is>
      </c>
    </row>
    <row r="139" ht="15" customHeight="1" s="32">
      <c r="A139" s="37" t="inlineStr">
        <is>
          <t>ABS</t>
        </is>
      </c>
      <c r="B139" s="37" t="inlineStr">
        <is>
          <t>Resin</t>
        </is>
      </c>
      <c r="C139" s="39" t="inlineStr">
        <is>
          <t>ABS (고기능성 합성수지)</t>
        </is>
      </c>
      <c r="D139" s="37" t="inlineStr">
        <is>
          <t>HS 3903.30</t>
        </is>
      </c>
      <c r="E139" s="37" t="inlineStr">
        <is>
          <t>TH</t>
        </is>
      </c>
      <c r="F139" s="38" t="inlineStr">
        <is>
          <t>태국</t>
        </is>
      </c>
      <c r="G139" s="37" t="inlineStr">
        <is>
          <t>IN_NOI</t>
        </is>
      </c>
      <c r="H139" s="38" t="inlineStr">
        <is>
          <t>인도 (노이다)</t>
        </is>
      </c>
      <c r="I139" s="38" t="inlineStr">
        <is>
          <t>문드라항 (Mundra) + ICD 다드리 (INMUN-&gt;INDAD)</t>
        </is>
      </c>
      <c r="J139" s="49" t="n">
        <v>0.0825</v>
      </c>
      <c r="K139" s="49" t="n">
        <v>0.02</v>
      </c>
      <c r="L139" s="37" t="inlineStr">
        <is>
          <t>Y</t>
        </is>
      </c>
      <c r="M139" s="38" t="inlineStr">
        <is>
          <t>인도-ASEAN FTA</t>
        </is>
      </c>
      <c r="N139" s="49" t="n">
        <v>0</v>
      </c>
      <c r="O139" s="50">
        <f>IF(L139="Y",K139,J139)+N139</f>
        <v/>
      </c>
      <c r="P139" s="38" t="inlineStr">
        <is>
          <t>문드라항-&gt;ICD 다드리(노이다) 통관: 인도-아세안 FTA 폴리머 양허세율 적용</t>
        </is>
      </c>
    </row>
    <row r="140" ht="15" customHeight="1" s="32">
      <c r="A140" s="43" t="inlineStr">
        <is>
          <t>ABS</t>
        </is>
      </c>
      <c r="B140" s="43" t="inlineStr">
        <is>
          <t>Resin</t>
        </is>
      </c>
      <c r="C140" s="45" t="inlineStr">
        <is>
          <t>ABS (고기능성 합성수지)</t>
        </is>
      </c>
      <c r="D140" s="43" t="inlineStr">
        <is>
          <t>HS 3903.30</t>
        </is>
      </c>
      <c r="E140" s="43" t="inlineStr">
        <is>
          <t>TH</t>
        </is>
      </c>
      <c r="F140" s="44" t="inlineStr">
        <is>
          <t>태국</t>
        </is>
      </c>
      <c r="G140" s="43" t="inlineStr">
        <is>
          <t>IN_PUN</t>
        </is>
      </c>
      <c r="H140" s="44" t="inlineStr">
        <is>
          <t>인도 (푸네)</t>
        </is>
      </c>
      <c r="I140" s="44" t="inlineStr">
        <is>
          <t>나바셰바항 (JNPT Mumbai) (INNSA)</t>
        </is>
      </c>
      <c r="J140" s="51" t="n">
        <v>0.0825</v>
      </c>
      <c r="K140" s="51" t="n">
        <v>0.02</v>
      </c>
      <c r="L140" s="43" t="inlineStr">
        <is>
          <t>Y</t>
        </is>
      </c>
      <c r="M140" s="44" t="inlineStr">
        <is>
          <t>인도-ASEAN FTA</t>
        </is>
      </c>
      <c r="N140" s="51" t="n">
        <v>0</v>
      </c>
      <c r="O140" s="52">
        <f>IF(L140="Y",K140,J140)+N140</f>
        <v/>
      </c>
      <c r="P140" s="44" t="inlineStr">
        <is>
          <t>나바셰바항(푸네) 통관: 인도-아세안 FTA 폴리머 양허세율 적용</t>
        </is>
      </c>
    </row>
    <row r="141" ht="15" customHeight="1" s="32">
      <c r="A141" s="37" t="inlineStr">
        <is>
          <t>ABS</t>
        </is>
      </c>
      <c r="B141" s="37" t="inlineStr">
        <is>
          <t>Resin</t>
        </is>
      </c>
      <c r="C141" s="39" t="inlineStr">
        <is>
          <t>ABS (고기능성 합성수지)</t>
        </is>
      </c>
      <c r="D141" s="37" t="inlineStr">
        <is>
          <t>HS 3903.30</t>
        </is>
      </c>
      <c r="E141" s="37" t="inlineStr">
        <is>
          <t>TH</t>
        </is>
      </c>
      <c r="F141" s="38" t="inlineStr">
        <is>
          <t>태국</t>
        </is>
      </c>
      <c r="G141" s="37" t="inlineStr">
        <is>
          <t>TH</t>
        </is>
      </c>
      <c r="H141" s="38" t="inlineStr">
        <is>
          <t>태국 (람차방)</t>
        </is>
      </c>
      <c r="I141" s="38" t="inlineStr">
        <is>
          <t>람차방항 (Laem Chabang) (THLCH)</t>
        </is>
      </c>
      <c r="J141" s="49" t="n">
        <v>0</v>
      </c>
      <c r="K141" s="49" t="n">
        <v>0</v>
      </c>
      <c r="L141" s="37" t="inlineStr">
        <is>
          <t>N</t>
        </is>
      </c>
      <c r="M141" s="38" t="inlineStr">
        <is>
          <t>내수 조달 (관세 없음)</t>
        </is>
      </c>
      <c r="N141" s="49" t="n">
        <v>0</v>
      </c>
      <c r="O141" s="50">
        <f>IF(L141="Y",K141,J141)+N141</f>
        <v/>
      </c>
      <c r="P141" s="38" t="inlineStr">
        <is>
          <t>동일 국가 내 조달 (람차방 / 라용 (Laem Chabang) 직송, 수입관세 면제)</t>
        </is>
      </c>
    </row>
    <row r="142" ht="15" customHeight="1" s="32">
      <c r="A142" s="43" t="inlineStr">
        <is>
          <t>ABS</t>
        </is>
      </c>
      <c r="B142" s="43" t="inlineStr">
        <is>
          <t>Resin</t>
        </is>
      </c>
      <c r="C142" s="45" t="inlineStr">
        <is>
          <t>ABS (고기능성 합성수지)</t>
        </is>
      </c>
      <c r="D142" s="43" t="inlineStr">
        <is>
          <t>HS 3903.30</t>
        </is>
      </c>
      <c r="E142" s="43" t="inlineStr">
        <is>
          <t>TH</t>
        </is>
      </c>
      <c r="F142" s="44" t="inlineStr">
        <is>
          <t>태국</t>
        </is>
      </c>
      <c r="G142" s="43" t="inlineStr">
        <is>
          <t>ID</t>
        </is>
      </c>
      <c r="H142" s="44" t="inlineStr">
        <is>
          <t>인니 (자카르타)</t>
        </is>
      </c>
      <c r="I142" s="44" t="inlineStr">
        <is>
          <t>탄중프리옥항 (Tanjung Priok) (IDJKT)</t>
        </is>
      </c>
      <c r="J142" s="51" t="n">
        <v>0.1</v>
      </c>
      <c r="K142" s="51" t="n">
        <v>0</v>
      </c>
      <c r="L142" s="43" t="inlineStr">
        <is>
          <t>Y</t>
        </is>
      </c>
      <c r="M142" s="45" t="inlineStr">
        <is>
          <t>ATIGA (아세안무역협정)</t>
        </is>
      </c>
      <c r="N142" s="51" t="n">
        <v>0</v>
      </c>
      <c r="O142" s="52">
        <f>IF(L142="Y",K142,J142)+N142</f>
        <v/>
      </c>
      <c r="P142" s="44" t="inlineStr">
        <is>
          <t>탄중프리옥항 통관: ATIGA 역내 무관세(0%)</t>
        </is>
      </c>
    </row>
    <row r="143" ht="15" customHeight="1" s="32">
      <c r="A143" s="37" t="inlineStr">
        <is>
          <t>ABS</t>
        </is>
      </c>
      <c r="B143" s="37" t="inlineStr">
        <is>
          <t>Resin</t>
        </is>
      </c>
      <c r="C143" s="39" t="inlineStr">
        <is>
          <t>ABS (고기능성 합성수지)</t>
        </is>
      </c>
      <c r="D143" s="37" t="inlineStr">
        <is>
          <t>HS 3903.30</t>
        </is>
      </c>
      <c r="E143" s="37" t="inlineStr">
        <is>
          <t>TH</t>
        </is>
      </c>
      <c r="F143" s="38" t="inlineStr">
        <is>
          <t>태국</t>
        </is>
      </c>
      <c r="G143" s="37" t="inlineStr">
        <is>
          <t>SA</t>
        </is>
      </c>
      <c r="H143" s="38" t="inlineStr">
        <is>
          <t>사우디 (제다)</t>
        </is>
      </c>
      <c r="I143" s="38" t="inlineStr">
        <is>
          <t>제다 이슬람항 (Jeddah Islamic Port) (SAJED)</t>
        </is>
      </c>
      <c r="J143" s="49" t="n">
        <v>0.05</v>
      </c>
      <c r="K143" s="49" t="n">
        <v>0.05</v>
      </c>
      <c r="L143" s="37" t="inlineStr">
        <is>
          <t>N</t>
        </is>
      </c>
      <c r="M143" s="39" t="inlineStr">
        <is>
          <t>-</t>
        </is>
      </c>
      <c r="N143" s="49" t="n">
        <v>0</v>
      </c>
      <c r="O143" s="50">
        <f>IF(L143="Y",K143,J143)+N143</f>
        <v/>
      </c>
      <c r="P143" s="38" t="inlineStr">
        <is>
          <t>제다 이슬람항 통관: GCC 공동관세율(CET) 기본 5.0% 적용</t>
        </is>
      </c>
    </row>
    <row r="144" ht="15" customHeight="1" s="32">
      <c r="A144" s="43" t="inlineStr">
        <is>
          <t>ABS</t>
        </is>
      </c>
      <c r="B144" s="43" t="inlineStr">
        <is>
          <t>Resin</t>
        </is>
      </c>
      <c r="C144" s="45" t="inlineStr">
        <is>
          <t>ABS (고기능성 합성수지)</t>
        </is>
      </c>
      <c r="D144" s="43" t="inlineStr">
        <is>
          <t>HS 3903.30</t>
        </is>
      </c>
      <c r="E144" s="43" t="inlineStr">
        <is>
          <t>TH</t>
        </is>
      </c>
      <c r="F144" s="44" t="inlineStr">
        <is>
          <t>태국</t>
        </is>
      </c>
      <c r="G144" s="43" t="inlineStr">
        <is>
          <t>BR</t>
        </is>
      </c>
      <c r="H144" s="44" t="inlineStr">
        <is>
          <t>브라질 (마나우스)</t>
        </is>
      </c>
      <c r="I144" s="44" t="inlineStr">
        <is>
          <t>마나우스항 (Porto de Manaus / Chibatao) (BRMAO)</t>
        </is>
      </c>
      <c r="J144" s="51" t="n">
        <v>0.126</v>
      </c>
      <c r="K144" s="51" t="n">
        <v>0.126</v>
      </c>
      <c r="L144" s="43" t="inlineStr">
        <is>
          <t>N</t>
        </is>
      </c>
      <c r="M144" s="45" t="inlineStr">
        <is>
          <t>-</t>
        </is>
      </c>
      <c r="N144" s="51" t="n">
        <v>0</v>
      </c>
      <c r="O144" s="52">
        <f>IF(L144="Y",K144,J144)+N144</f>
        <v/>
      </c>
      <c r="P144" s="44" t="inlineStr">
        <is>
          <t>마나우스항 통관: Mercosur TEC 12.6% (마나우스 ZFM 88% 감면 시 1.51%)</t>
        </is>
      </c>
    </row>
    <row r="145" ht="15" customHeight="1" s="32">
      <c r="A145" s="37" t="inlineStr">
        <is>
          <t>ABS</t>
        </is>
      </c>
      <c r="B145" s="37" t="inlineStr">
        <is>
          <t>Resin</t>
        </is>
      </c>
      <c r="C145" s="39" t="inlineStr">
        <is>
          <t>ABS (고기능성 합성수지)</t>
        </is>
      </c>
      <c r="D145" s="37" t="inlineStr">
        <is>
          <t>HS 3903.30</t>
        </is>
      </c>
      <c r="E145" s="37" t="inlineStr">
        <is>
          <t>TH</t>
        </is>
      </c>
      <c r="F145" s="38" t="inlineStr">
        <is>
          <t>태국</t>
        </is>
      </c>
      <c r="G145" s="37" t="inlineStr">
        <is>
          <t>EG</t>
        </is>
      </c>
      <c r="H145" s="38" t="inlineStr">
        <is>
          <t>이집트 (카이로)</t>
        </is>
      </c>
      <c r="I145" s="38" t="inlineStr">
        <is>
          <t>아인소크나항 (Ain Sokhna) / 알렉산드리아항 (EGSOK / EGALY)</t>
        </is>
      </c>
      <c r="J145" s="49" t="n">
        <v>0.05</v>
      </c>
      <c r="K145" s="49" t="n">
        <v>0.05</v>
      </c>
      <c r="L145" s="37" t="inlineStr">
        <is>
          <t>N</t>
        </is>
      </c>
      <c r="M145" s="39" t="inlineStr">
        <is>
          <t>-</t>
        </is>
      </c>
      <c r="N145" s="49" t="n">
        <v>0</v>
      </c>
      <c r="O145" s="50">
        <f>IF(L145="Y",K145,J145)+N145</f>
        <v/>
      </c>
      <c r="P145" s="38" t="inlineStr">
        <is>
          <t>아인소크나항(EGSOK)-&gt;카이로: 이집트 합성수지(HS 3902/3903) MFN 기본관세 5.0% 적용</t>
        </is>
      </c>
    </row>
    <row r="146" ht="15" customHeight="1" s="32">
      <c r="A146" s="43" t="inlineStr">
        <is>
          <t>ABS</t>
        </is>
      </c>
      <c r="B146" s="43" t="inlineStr">
        <is>
          <t>Resin</t>
        </is>
      </c>
      <c r="C146" s="45" t="inlineStr">
        <is>
          <t>ABS (고기능성 합성수지)</t>
        </is>
      </c>
      <c r="D146" s="43" t="inlineStr">
        <is>
          <t>HS 3903.30</t>
        </is>
      </c>
      <c r="E146" s="43" t="inlineStr">
        <is>
          <t>TH</t>
        </is>
      </c>
      <c r="F146" s="44" t="inlineStr">
        <is>
          <t>태국</t>
        </is>
      </c>
      <c r="G146" s="43" t="inlineStr">
        <is>
          <t>US</t>
        </is>
      </c>
      <c r="H146" s="44" t="inlineStr">
        <is>
          <t>미국 (클락스빌)</t>
        </is>
      </c>
      <c r="I146" s="44" t="inlineStr">
        <is>
          <t>서배너항 (Savannah) / 찰스턴항 + 철도Ramp (USSAV / USCHS)</t>
        </is>
      </c>
      <c r="J146" s="51" t="n">
        <v>0.065</v>
      </c>
      <c r="K146" s="51" t="n">
        <v>0.065</v>
      </c>
      <c r="L146" s="43" t="inlineStr">
        <is>
          <t>N</t>
        </is>
      </c>
      <c r="M146" s="45" t="inlineStr">
        <is>
          <t>-</t>
        </is>
      </c>
      <c r="N146" s="51" t="n">
        <v>0.125</v>
      </c>
      <c r="O146" s="52">
        <f>IF(L146="Y",K146,J146)+N146</f>
        <v/>
      </c>
      <c r="P146" s="44" t="inlineStr">
        <is>
          <t>서배너항-&gt;클락스빌: MFN 6.5% + 2026.7 미국 301조(태국산 +12.5%p) 합산 19.0%</t>
        </is>
      </c>
    </row>
    <row r="147" ht="15" customHeight="1" s="32">
      <c r="A147" s="37" t="inlineStr">
        <is>
          <t>ABS</t>
        </is>
      </c>
      <c r="B147" s="37" t="inlineStr">
        <is>
          <t>Resin</t>
        </is>
      </c>
      <c r="C147" s="39" t="inlineStr">
        <is>
          <t>ABS (고기능성 합성수지)</t>
        </is>
      </c>
      <c r="D147" s="37" t="inlineStr">
        <is>
          <t>HS 3903.30</t>
        </is>
      </c>
      <c r="E147" s="37" t="inlineStr">
        <is>
          <t>TH</t>
        </is>
      </c>
      <c r="F147" s="38" t="inlineStr">
        <is>
          <t>태국</t>
        </is>
      </c>
      <c r="G147" s="37" t="inlineStr">
        <is>
          <t>NO</t>
        </is>
      </c>
      <c r="H147" s="38" t="inlineStr">
        <is>
          <t>노르웨이 (오슬로)</t>
        </is>
      </c>
      <c r="I147" s="38" t="inlineStr">
        <is>
          <t>오슬로항 (Port of Oslo) (NOOSL)</t>
        </is>
      </c>
      <c r="J147" s="49" t="n">
        <v>0</v>
      </c>
      <c r="K147" s="49" t="n">
        <v>0</v>
      </c>
      <c r="L147" s="37" t="inlineStr">
        <is>
          <t>N</t>
        </is>
      </c>
      <c r="M147" s="38" t="inlineStr">
        <is>
          <t>노르웨이 공산품 무관세 (한-EFTA 등)</t>
        </is>
      </c>
      <c r="N147" s="49" t="n">
        <v>0</v>
      </c>
      <c r="O147" s="50">
        <f>IF(L147="Y",K147,J147)+N147</f>
        <v/>
      </c>
      <c r="P147" s="38" t="inlineStr">
        <is>
          <t>오슬로항(NOOSL) 통관: 노르웨이 관세청(Tolltariffen) 철강·합성수지 전 품목 MFN 0% 무관세</t>
        </is>
      </c>
    </row>
    <row r="148" ht="15" customHeight="1" s="32">
      <c r="A148" s="43" t="inlineStr">
        <is>
          <t>ABS</t>
        </is>
      </c>
      <c r="B148" s="43" t="inlineStr">
        <is>
          <t>Resin</t>
        </is>
      </c>
      <c r="C148" s="45" t="inlineStr">
        <is>
          <t>ABS (고기능성 합성수지)</t>
        </is>
      </c>
      <c r="D148" s="43" t="inlineStr">
        <is>
          <t>HS 3903.30</t>
        </is>
      </c>
      <c r="E148" s="43" t="inlineStr">
        <is>
          <t>IN</t>
        </is>
      </c>
      <c r="F148" s="44" t="inlineStr">
        <is>
          <t>인도</t>
        </is>
      </c>
      <c r="G148" s="43" t="inlineStr">
        <is>
          <t>KR</t>
        </is>
      </c>
      <c r="H148" s="44" t="inlineStr">
        <is>
          <t>한국 (부산)</t>
        </is>
      </c>
      <c r="I148" s="44" t="inlineStr">
        <is>
          <t>부산항 (Port of Busan) (KRPUS)</t>
        </is>
      </c>
      <c r="J148" s="51" t="n">
        <v>0.065</v>
      </c>
      <c r="K148" s="51" t="n">
        <v>0</v>
      </c>
      <c r="L148" s="43" t="inlineStr">
        <is>
          <t>Y</t>
        </is>
      </c>
      <c r="M148" s="44" t="inlineStr">
        <is>
          <t>한-인도 CEPA</t>
        </is>
      </c>
      <c r="N148" s="51" t="n">
        <v>0</v>
      </c>
      <c r="O148" s="52">
        <f>IF(L148="Y",K148,J148)+N148</f>
        <v/>
      </c>
      <c r="P148" s="44" t="inlineStr">
        <is>
          <t>부산항 통관: 한-인도 CEPA 0% 양허</t>
        </is>
      </c>
    </row>
    <row r="149" ht="15" customHeight="1" s="32">
      <c r="A149" s="37" t="inlineStr">
        <is>
          <t>ABS</t>
        </is>
      </c>
      <c r="B149" s="37" t="inlineStr">
        <is>
          <t>Resin</t>
        </is>
      </c>
      <c r="C149" s="39" t="inlineStr">
        <is>
          <t>ABS (고기능성 합성수지)</t>
        </is>
      </c>
      <c r="D149" s="37" t="inlineStr">
        <is>
          <t>HS 3903.30</t>
        </is>
      </c>
      <c r="E149" s="37" t="inlineStr">
        <is>
          <t>IN</t>
        </is>
      </c>
      <c r="F149" s="38" t="inlineStr">
        <is>
          <t>인도</t>
        </is>
      </c>
      <c r="G149" s="37" t="inlineStr">
        <is>
          <t>CN</t>
        </is>
      </c>
      <c r="H149" s="38" t="inlineStr">
        <is>
          <t>중국 (천진)</t>
        </is>
      </c>
      <c r="I149" s="38" t="inlineStr">
        <is>
          <t>천진 신강항 (Tianjin Xingang) (CNTSN)</t>
        </is>
      </c>
      <c r="J149" s="49" t="n">
        <v>0.065</v>
      </c>
      <c r="K149" s="49" t="n">
        <v>0.065</v>
      </c>
      <c r="L149" s="37" t="inlineStr">
        <is>
          <t>N</t>
        </is>
      </c>
      <c r="M149" s="39" t="inlineStr">
        <is>
          <t>-</t>
        </is>
      </c>
      <c r="N149" s="49" t="n">
        <v>0</v>
      </c>
      <c r="O149" s="50">
        <f>IF(L149="Y",K149,J149)+N149</f>
        <v/>
      </c>
      <c r="P149" s="39" t="inlineStr">
        <is>
          <t>WTO/WITS 일반 MFN 세율 적용</t>
        </is>
      </c>
    </row>
    <row r="150" ht="15" customHeight="1" s="32">
      <c r="A150" s="43" t="inlineStr">
        <is>
          <t>ABS</t>
        </is>
      </c>
      <c r="B150" s="43" t="inlineStr">
        <is>
          <t>Resin</t>
        </is>
      </c>
      <c r="C150" s="45" t="inlineStr">
        <is>
          <t>ABS (고기능성 합성수지)</t>
        </is>
      </c>
      <c r="D150" s="43" t="inlineStr">
        <is>
          <t>HS 3903.30</t>
        </is>
      </c>
      <c r="E150" s="43" t="inlineStr">
        <is>
          <t>IN</t>
        </is>
      </c>
      <c r="F150" s="44" t="inlineStr">
        <is>
          <t>인도</t>
        </is>
      </c>
      <c r="G150" s="43" t="inlineStr">
        <is>
          <t>IN_NOI</t>
        </is>
      </c>
      <c r="H150" s="44" t="inlineStr">
        <is>
          <t>인도 (노이다)</t>
        </is>
      </c>
      <c r="I150" s="44" t="inlineStr">
        <is>
          <t>문드라항 (Mundra) + ICD 다드리 (INMUN-&gt;INDAD)</t>
        </is>
      </c>
      <c r="J150" s="51" t="n">
        <v>0</v>
      </c>
      <c r="K150" s="51" t="n">
        <v>0</v>
      </c>
      <c r="L150" s="43" t="inlineStr">
        <is>
          <t>N</t>
        </is>
      </c>
      <c r="M150" s="44" t="inlineStr">
        <is>
          <t>내수 조달 (관세 없음)</t>
        </is>
      </c>
      <c r="N150" s="51" t="n">
        <v>0</v>
      </c>
      <c r="O150" s="52">
        <f>IF(L150="Y",K150,J150)+N150</f>
        <v/>
      </c>
      <c r="P150" s="44" t="inlineStr">
        <is>
          <t>동일 국가 내 조달 (노이다 (Noida, Delhi NCR) 직송, 수입관세 면제)</t>
        </is>
      </c>
    </row>
    <row r="151" ht="15" customHeight="1" s="32">
      <c r="A151" s="37" t="inlineStr">
        <is>
          <t>ABS</t>
        </is>
      </c>
      <c r="B151" s="37" t="inlineStr">
        <is>
          <t>Resin</t>
        </is>
      </c>
      <c r="C151" s="39" t="inlineStr">
        <is>
          <t>ABS (고기능성 합성수지)</t>
        </is>
      </c>
      <c r="D151" s="37" t="inlineStr">
        <is>
          <t>HS 3903.30</t>
        </is>
      </c>
      <c r="E151" s="37" t="inlineStr">
        <is>
          <t>IN</t>
        </is>
      </c>
      <c r="F151" s="38" t="inlineStr">
        <is>
          <t>인도</t>
        </is>
      </c>
      <c r="G151" s="37" t="inlineStr">
        <is>
          <t>IN_PUN</t>
        </is>
      </c>
      <c r="H151" s="38" t="inlineStr">
        <is>
          <t>인도 (푸네)</t>
        </is>
      </c>
      <c r="I151" s="38" t="inlineStr">
        <is>
          <t>나바셰바항 (JNPT Mumbai) (INNSA)</t>
        </is>
      </c>
      <c r="J151" s="49" t="n">
        <v>0</v>
      </c>
      <c r="K151" s="49" t="n">
        <v>0</v>
      </c>
      <c r="L151" s="37" t="inlineStr">
        <is>
          <t>N</t>
        </is>
      </c>
      <c r="M151" s="38" t="inlineStr">
        <is>
          <t>내수 조달 (관세 없음)</t>
        </is>
      </c>
      <c r="N151" s="49" t="n">
        <v>0</v>
      </c>
      <c r="O151" s="50">
        <f>IF(L151="Y",K151,J151)+N151</f>
        <v/>
      </c>
      <c r="P151" s="38" t="inlineStr">
        <is>
          <t>동일 국가 내 조달 (푸네 (Pune, Maharashtra) 직송, 수입관세 면제)</t>
        </is>
      </c>
    </row>
    <row r="152" ht="15" customHeight="1" s="32">
      <c r="A152" s="43" t="inlineStr">
        <is>
          <t>ABS</t>
        </is>
      </c>
      <c r="B152" s="43" t="inlineStr">
        <is>
          <t>Resin</t>
        </is>
      </c>
      <c r="C152" s="45" t="inlineStr">
        <is>
          <t>ABS (고기능성 합성수지)</t>
        </is>
      </c>
      <c r="D152" s="43" t="inlineStr">
        <is>
          <t>HS 3903.30</t>
        </is>
      </c>
      <c r="E152" s="43" t="inlineStr">
        <is>
          <t>IN</t>
        </is>
      </c>
      <c r="F152" s="44" t="inlineStr">
        <is>
          <t>인도</t>
        </is>
      </c>
      <c r="G152" s="43" t="inlineStr">
        <is>
          <t>TH</t>
        </is>
      </c>
      <c r="H152" s="44" t="inlineStr">
        <is>
          <t>태국 (람차방)</t>
        </is>
      </c>
      <c r="I152" s="44" t="inlineStr">
        <is>
          <t>람차방항 (Laem Chabang) (THLCH)</t>
        </is>
      </c>
      <c r="J152" s="51" t="n">
        <v>0.05</v>
      </c>
      <c r="K152" s="51" t="n">
        <v>0</v>
      </c>
      <c r="L152" s="43" t="inlineStr">
        <is>
          <t>Y</t>
        </is>
      </c>
      <c r="M152" s="45" t="inlineStr">
        <is>
          <t>ASEAN-인도 FTA</t>
        </is>
      </c>
      <c r="N152" s="51" t="n">
        <v>0</v>
      </c>
      <c r="O152" s="52">
        <f>IF(L152="Y",K152,J152)+N152</f>
        <v/>
      </c>
      <c r="P152" s="44" t="inlineStr">
        <is>
          <t>람차방항 통관: 아세안 역외 FTA 합성수지 0% 양허</t>
        </is>
      </c>
    </row>
    <row r="153" ht="15" customHeight="1" s="32">
      <c r="A153" s="37" t="inlineStr">
        <is>
          <t>ABS</t>
        </is>
      </c>
      <c r="B153" s="37" t="inlineStr">
        <is>
          <t>Resin</t>
        </is>
      </c>
      <c r="C153" s="39" t="inlineStr">
        <is>
          <t>ABS (고기능성 합성수지)</t>
        </is>
      </c>
      <c r="D153" s="37" t="inlineStr">
        <is>
          <t>HS 3903.30</t>
        </is>
      </c>
      <c r="E153" s="37" t="inlineStr">
        <is>
          <t>IN</t>
        </is>
      </c>
      <c r="F153" s="38" t="inlineStr">
        <is>
          <t>인도</t>
        </is>
      </c>
      <c r="G153" s="37" t="inlineStr">
        <is>
          <t>ID</t>
        </is>
      </c>
      <c r="H153" s="38" t="inlineStr">
        <is>
          <t>인니 (자카르타)</t>
        </is>
      </c>
      <c r="I153" s="38" t="inlineStr">
        <is>
          <t>탄중프리옥항 (Tanjung Priok) (IDJKT)</t>
        </is>
      </c>
      <c r="J153" s="49" t="n">
        <v>0.1</v>
      </c>
      <c r="K153" s="49" t="n">
        <v>0.05</v>
      </c>
      <c r="L153" s="37" t="inlineStr">
        <is>
          <t>Y</t>
        </is>
      </c>
      <c r="M153" s="38" t="inlineStr">
        <is>
          <t>인도-ASEAN FTA</t>
        </is>
      </c>
      <c r="N153" s="49" t="n">
        <v>0</v>
      </c>
      <c r="O153" s="50">
        <f>IF(L153="Y",K153,J153)+N153</f>
        <v/>
      </c>
      <c r="P153" s="38" t="inlineStr">
        <is>
          <t>탄중프리옥항 통관: 인도-아세안 FTA 양허세율 적용</t>
        </is>
      </c>
    </row>
    <row r="154" ht="15" customHeight="1" s="32">
      <c r="A154" s="43" t="inlineStr">
        <is>
          <t>ABS</t>
        </is>
      </c>
      <c r="B154" s="43" t="inlineStr">
        <is>
          <t>Resin</t>
        </is>
      </c>
      <c r="C154" s="45" t="inlineStr">
        <is>
          <t>ABS (고기능성 합성수지)</t>
        </is>
      </c>
      <c r="D154" s="43" t="inlineStr">
        <is>
          <t>HS 3903.30</t>
        </is>
      </c>
      <c r="E154" s="43" t="inlineStr">
        <is>
          <t>IN</t>
        </is>
      </c>
      <c r="F154" s="44" t="inlineStr">
        <is>
          <t>인도</t>
        </is>
      </c>
      <c r="G154" s="43" t="inlineStr">
        <is>
          <t>SA</t>
        </is>
      </c>
      <c r="H154" s="44" t="inlineStr">
        <is>
          <t>사우디 (제다)</t>
        </is>
      </c>
      <c r="I154" s="44" t="inlineStr">
        <is>
          <t>제다 이슬람항 (Jeddah Islamic Port) (SAJED)</t>
        </is>
      </c>
      <c r="J154" s="51" t="n">
        <v>0.05</v>
      </c>
      <c r="K154" s="51" t="n">
        <v>0.05</v>
      </c>
      <c r="L154" s="43" t="inlineStr">
        <is>
          <t>N</t>
        </is>
      </c>
      <c r="M154" s="45" t="inlineStr">
        <is>
          <t>-</t>
        </is>
      </c>
      <c r="N154" s="51" t="n">
        <v>0</v>
      </c>
      <c r="O154" s="52">
        <f>IF(L154="Y",K154,J154)+N154</f>
        <v/>
      </c>
      <c r="P154" s="44" t="inlineStr">
        <is>
          <t>제다 이슬람항 통관: GCC 공동관세율(CET) 기본 5.0% 적용</t>
        </is>
      </c>
    </row>
    <row r="155" ht="15" customHeight="1" s="32">
      <c r="A155" s="37" t="inlineStr">
        <is>
          <t>ABS</t>
        </is>
      </c>
      <c r="B155" s="37" t="inlineStr">
        <is>
          <t>Resin</t>
        </is>
      </c>
      <c r="C155" s="39" t="inlineStr">
        <is>
          <t>ABS (고기능성 합성수지)</t>
        </is>
      </c>
      <c r="D155" s="37" t="inlineStr">
        <is>
          <t>HS 3903.30</t>
        </is>
      </c>
      <c r="E155" s="37" t="inlineStr">
        <is>
          <t>IN</t>
        </is>
      </c>
      <c r="F155" s="38" t="inlineStr">
        <is>
          <t>인도</t>
        </is>
      </c>
      <c r="G155" s="37" t="inlineStr">
        <is>
          <t>BR</t>
        </is>
      </c>
      <c r="H155" s="38" t="inlineStr">
        <is>
          <t>브라질 (마나우스)</t>
        </is>
      </c>
      <c r="I155" s="38" t="inlineStr">
        <is>
          <t>마나우스항 (Porto de Manaus / Chibatao) (BRMAO)</t>
        </is>
      </c>
      <c r="J155" s="49" t="n">
        <v>0.126</v>
      </c>
      <c r="K155" s="49" t="n">
        <v>0.126</v>
      </c>
      <c r="L155" s="37" t="inlineStr">
        <is>
          <t>N</t>
        </is>
      </c>
      <c r="M155" s="39" t="inlineStr">
        <is>
          <t>-</t>
        </is>
      </c>
      <c r="N155" s="49" t="n">
        <v>0</v>
      </c>
      <c r="O155" s="50">
        <f>IF(L155="Y",K155,J155)+N155</f>
        <v/>
      </c>
      <c r="P155" s="38" t="inlineStr">
        <is>
          <t>마나우스항 통관: Mercosur TEC 12.6% (마나우스 ZFM 88% 감면 시 1.51%)</t>
        </is>
      </c>
    </row>
    <row r="156" ht="15" customHeight="1" s="32">
      <c r="A156" s="43" t="inlineStr">
        <is>
          <t>ABS</t>
        </is>
      </c>
      <c r="B156" s="43" t="inlineStr">
        <is>
          <t>Resin</t>
        </is>
      </c>
      <c r="C156" s="45" t="inlineStr">
        <is>
          <t>ABS (고기능성 합성수지)</t>
        </is>
      </c>
      <c r="D156" s="43" t="inlineStr">
        <is>
          <t>HS 3903.30</t>
        </is>
      </c>
      <c r="E156" s="43" t="inlineStr">
        <is>
          <t>IN</t>
        </is>
      </c>
      <c r="F156" s="44" t="inlineStr">
        <is>
          <t>인도</t>
        </is>
      </c>
      <c r="G156" s="43" t="inlineStr">
        <is>
          <t>EG</t>
        </is>
      </c>
      <c r="H156" s="44" t="inlineStr">
        <is>
          <t>이집트 (카이로)</t>
        </is>
      </c>
      <c r="I156" s="44" t="inlineStr">
        <is>
          <t>아인소크나항 (Ain Sokhna) / 알렉산드리아항 (EGSOK / EGALY)</t>
        </is>
      </c>
      <c r="J156" s="51" t="n">
        <v>0.05</v>
      </c>
      <c r="K156" s="51" t="n">
        <v>0.05</v>
      </c>
      <c r="L156" s="43" t="inlineStr">
        <is>
          <t>N</t>
        </is>
      </c>
      <c r="M156" s="45" t="inlineStr">
        <is>
          <t>-</t>
        </is>
      </c>
      <c r="N156" s="51" t="n">
        <v>0</v>
      </c>
      <c r="O156" s="52">
        <f>IF(L156="Y",K156,J156)+N156</f>
        <v/>
      </c>
      <c r="P156" s="44" t="inlineStr">
        <is>
          <t>아인소크나항(EGSOK)-&gt;카이로: 이집트 합성수지(HS 3902/3903) MFN 기본관세 5.0% 적용</t>
        </is>
      </c>
    </row>
    <row r="157" ht="15" customHeight="1" s="32">
      <c r="A157" s="37" t="inlineStr">
        <is>
          <t>ABS</t>
        </is>
      </c>
      <c r="B157" s="37" t="inlineStr">
        <is>
          <t>Resin</t>
        </is>
      </c>
      <c r="C157" s="39" t="inlineStr">
        <is>
          <t>ABS (고기능성 합성수지)</t>
        </is>
      </c>
      <c r="D157" s="37" t="inlineStr">
        <is>
          <t>HS 3903.30</t>
        </is>
      </c>
      <c r="E157" s="37" t="inlineStr">
        <is>
          <t>IN</t>
        </is>
      </c>
      <c r="F157" s="38" t="inlineStr">
        <is>
          <t>인도</t>
        </is>
      </c>
      <c r="G157" s="37" t="inlineStr">
        <is>
          <t>US</t>
        </is>
      </c>
      <c r="H157" s="38" t="inlineStr">
        <is>
          <t>미국 (클락스빌)</t>
        </is>
      </c>
      <c r="I157" s="38" t="inlineStr">
        <is>
          <t>서배너항 (Savannah) / 찰스턴항 + 철도Ramp (USSAV / USCHS)</t>
        </is>
      </c>
      <c r="J157" s="49" t="n">
        <v>0.065</v>
      </c>
      <c r="K157" s="49" t="n">
        <v>0.065</v>
      </c>
      <c r="L157" s="37" t="inlineStr">
        <is>
          <t>N</t>
        </is>
      </c>
      <c r="M157" s="39" t="inlineStr">
        <is>
          <t>-</t>
        </is>
      </c>
      <c r="N157" s="49" t="n">
        <v>0.1</v>
      </c>
      <c r="O157" s="50">
        <f>IF(L157="Y",K157,J157)+N157</f>
        <v/>
      </c>
      <c r="P157" s="38" t="inlineStr">
        <is>
          <t>서배너항-&gt;클락스빌: MFN 6.5% + 2026.7 미국 301조(인도산 +10.0%p) 합산 16.5%</t>
        </is>
      </c>
    </row>
    <row r="158" ht="15" customHeight="1" s="32">
      <c r="A158" s="43" t="inlineStr">
        <is>
          <t>ABS</t>
        </is>
      </c>
      <c r="B158" s="43" t="inlineStr">
        <is>
          <t>Resin</t>
        </is>
      </c>
      <c r="C158" s="45" t="inlineStr">
        <is>
          <t>ABS (고기능성 합성수지)</t>
        </is>
      </c>
      <c r="D158" s="43" t="inlineStr">
        <is>
          <t>HS 3903.30</t>
        </is>
      </c>
      <c r="E158" s="43" t="inlineStr">
        <is>
          <t>IN</t>
        </is>
      </c>
      <c r="F158" s="44" t="inlineStr">
        <is>
          <t>인도</t>
        </is>
      </c>
      <c r="G158" s="43" t="inlineStr">
        <is>
          <t>NO</t>
        </is>
      </c>
      <c r="H158" s="44" t="inlineStr">
        <is>
          <t>노르웨이 (오슬로)</t>
        </is>
      </c>
      <c r="I158" s="44" t="inlineStr">
        <is>
          <t>오슬로항 (Port of Oslo) (NOOSL)</t>
        </is>
      </c>
      <c r="J158" s="51" t="n">
        <v>0</v>
      </c>
      <c r="K158" s="51" t="n">
        <v>0</v>
      </c>
      <c r="L158" s="43" t="inlineStr">
        <is>
          <t>N</t>
        </is>
      </c>
      <c r="M158" s="44" t="inlineStr">
        <is>
          <t>노르웨이 공산품 무관세 (한-EFTA 등)</t>
        </is>
      </c>
      <c r="N158" s="51" t="n">
        <v>0</v>
      </c>
      <c r="O158" s="52">
        <f>IF(L158="Y",K158,J158)+N158</f>
        <v/>
      </c>
      <c r="P158" s="44" t="inlineStr">
        <is>
          <t>오슬로항(NOOSL) 통관: 노르웨이 관세청(Tolltariffen) 철강·합성수지 전 품목 MFN 0% 무관세</t>
        </is>
      </c>
    </row>
    <row r="159" ht="15" customHeight="1" s="32">
      <c r="A159" s="37" t="inlineStr">
        <is>
          <t>ABS</t>
        </is>
      </c>
      <c r="B159" s="37" t="inlineStr">
        <is>
          <t>Resin</t>
        </is>
      </c>
      <c r="C159" s="39" t="inlineStr">
        <is>
          <t>ABS (고기능성 합성수지)</t>
        </is>
      </c>
      <c r="D159" s="37" t="inlineStr">
        <is>
          <t>HS 3903.30</t>
        </is>
      </c>
      <c r="E159" s="37" t="inlineStr">
        <is>
          <t>US</t>
        </is>
      </c>
      <c r="F159" s="38" t="inlineStr">
        <is>
          <t>미국</t>
        </is>
      </c>
      <c r="G159" s="37" t="inlineStr">
        <is>
          <t>KR</t>
        </is>
      </c>
      <c r="H159" s="38" t="inlineStr">
        <is>
          <t>한국 (부산)</t>
        </is>
      </c>
      <c r="I159" s="38" t="inlineStr">
        <is>
          <t>부산항 (Port of Busan) (KRPUS)</t>
        </is>
      </c>
      <c r="J159" s="49" t="n">
        <v>0.065</v>
      </c>
      <c r="K159" s="49" t="n">
        <v>0</v>
      </c>
      <c r="L159" s="37" t="inlineStr">
        <is>
          <t>Y</t>
        </is>
      </c>
      <c r="M159" s="38" t="inlineStr">
        <is>
          <t>한-미 FTA (KORUS)</t>
        </is>
      </c>
      <c r="N159" s="49" t="n">
        <v>0</v>
      </c>
      <c r="O159" s="50">
        <f>IF(L159="Y",K159,J159)+N159</f>
        <v/>
      </c>
      <c r="P159" s="38" t="inlineStr">
        <is>
          <t>부산항 통관: KORUS 협정세율 0% 적용</t>
        </is>
      </c>
    </row>
    <row r="160" ht="15" customHeight="1" s="32">
      <c r="A160" s="43" t="inlineStr">
        <is>
          <t>ABS</t>
        </is>
      </c>
      <c r="B160" s="43" t="inlineStr">
        <is>
          <t>Resin</t>
        </is>
      </c>
      <c r="C160" s="45" t="inlineStr">
        <is>
          <t>ABS (고기능성 합성수지)</t>
        </is>
      </c>
      <c r="D160" s="43" t="inlineStr">
        <is>
          <t>HS 3903.30</t>
        </is>
      </c>
      <c r="E160" s="43" t="inlineStr">
        <is>
          <t>US</t>
        </is>
      </c>
      <c r="F160" s="44" t="inlineStr">
        <is>
          <t>미국</t>
        </is>
      </c>
      <c r="G160" s="43" t="inlineStr">
        <is>
          <t>CN</t>
        </is>
      </c>
      <c r="H160" s="44" t="inlineStr">
        <is>
          <t>중국 (천진)</t>
        </is>
      </c>
      <c r="I160" s="44" t="inlineStr">
        <is>
          <t>천진 신강항 (Tianjin Xingang) (CNTSN)</t>
        </is>
      </c>
      <c r="J160" s="51" t="n">
        <v>0.065</v>
      </c>
      <c r="K160" s="51" t="n">
        <v>0.065</v>
      </c>
      <c r="L160" s="43" t="inlineStr">
        <is>
          <t>N</t>
        </is>
      </c>
      <c r="M160" s="45" t="inlineStr">
        <is>
          <t>-</t>
        </is>
      </c>
      <c r="N160" s="51" t="n">
        <v>0.25</v>
      </c>
      <c r="O160" s="52">
        <f>IF(L160="Y",K160,J160)+N160</f>
        <v/>
      </c>
      <c r="P160" s="44" t="inlineStr">
        <is>
          <t>천진 신강항 통관: 미·중 통상분쟁 보복관세 반영</t>
        </is>
      </c>
    </row>
    <row r="161" ht="15" customHeight="1" s="32">
      <c r="A161" s="37" t="inlineStr">
        <is>
          <t>ABS</t>
        </is>
      </c>
      <c r="B161" s="37" t="inlineStr">
        <is>
          <t>Resin</t>
        </is>
      </c>
      <c r="C161" s="39" t="inlineStr">
        <is>
          <t>ABS (고기능성 합성수지)</t>
        </is>
      </c>
      <c r="D161" s="37" t="inlineStr">
        <is>
          <t>HS 3903.30</t>
        </is>
      </c>
      <c r="E161" s="37" t="inlineStr">
        <is>
          <t>US</t>
        </is>
      </c>
      <c r="F161" s="38" t="inlineStr">
        <is>
          <t>미국</t>
        </is>
      </c>
      <c r="G161" s="37" t="inlineStr">
        <is>
          <t>IN_NOI</t>
        </is>
      </c>
      <c r="H161" s="38" t="inlineStr">
        <is>
          <t>인도 (노이다)</t>
        </is>
      </c>
      <c r="I161" s="38" t="inlineStr">
        <is>
          <t>문드라항 (Mundra) + ICD 다드리 (INMUN-&gt;INDAD)</t>
        </is>
      </c>
      <c r="J161" s="49" t="n">
        <v>0.0825</v>
      </c>
      <c r="K161" s="49" t="n">
        <v>0.0825</v>
      </c>
      <c r="L161" s="37" t="inlineStr">
        <is>
          <t>N</t>
        </is>
      </c>
      <c r="M161" s="39" t="inlineStr">
        <is>
          <t>-</t>
        </is>
      </c>
      <c r="N161" s="49" t="n">
        <v>0</v>
      </c>
      <c r="O161" s="50">
        <f>IF(L161="Y",K161,J161)+N161</f>
        <v/>
      </c>
      <c r="P161" s="39" t="inlineStr">
        <is>
          <t>WTO/WITS 일반 MFN 세율 적용</t>
        </is>
      </c>
    </row>
    <row r="162" ht="15" customHeight="1" s="32">
      <c r="A162" s="43" t="inlineStr">
        <is>
          <t>ABS</t>
        </is>
      </c>
      <c r="B162" s="43" t="inlineStr">
        <is>
          <t>Resin</t>
        </is>
      </c>
      <c r="C162" s="45" t="inlineStr">
        <is>
          <t>ABS (고기능성 합성수지)</t>
        </is>
      </c>
      <c r="D162" s="43" t="inlineStr">
        <is>
          <t>HS 3903.30</t>
        </is>
      </c>
      <c r="E162" s="43" t="inlineStr">
        <is>
          <t>US</t>
        </is>
      </c>
      <c r="F162" s="44" t="inlineStr">
        <is>
          <t>미국</t>
        </is>
      </c>
      <c r="G162" s="43" t="inlineStr">
        <is>
          <t>IN_PUN</t>
        </is>
      </c>
      <c r="H162" s="44" t="inlineStr">
        <is>
          <t>인도 (푸네)</t>
        </is>
      </c>
      <c r="I162" s="44" t="inlineStr">
        <is>
          <t>나바셰바항 (JNPT Mumbai) (INNSA)</t>
        </is>
      </c>
      <c r="J162" s="51" t="n">
        <v>0.0825</v>
      </c>
      <c r="K162" s="51" t="n">
        <v>0.0825</v>
      </c>
      <c r="L162" s="43" t="inlineStr">
        <is>
          <t>N</t>
        </is>
      </c>
      <c r="M162" s="45" t="inlineStr">
        <is>
          <t>-</t>
        </is>
      </c>
      <c r="N162" s="51" t="n">
        <v>0</v>
      </c>
      <c r="O162" s="52">
        <f>IF(L162="Y",K162,J162)+N162</f>
        <v/>
      </c>
      <c r="P162" s="45" t="inlineStr">
        <is>
          <t>WTO/WITS 일반 MFN 세율 적용</t>
        </is>
      </c>
    </row>
    <row r="163" ht="15" customHeight="1" s="32">
      <c r="A163" s="37" t="inlineStr">
        <is>
          <t>ABS</t>
        </is>
      </c>
      <c r="B163" s="37" t="inlineStr">
        <is>
          <t>Resin</t>
        </is>
      </c>
      <c r="C163" s="39" t="inlineStr">
        <is>
          <t>ABS (고기능성 합성수지)</t>
        </is>
      </c>
      <c r="D163" s="37" t="inlineStr">
        <is>
          <t>HS 3903.30</t>
        </is>
      </c>
      <c r="E163" s="37" t="inlineStr">
        <is>
          <t>US</t>
        </is>
      </c>
      <c r="F163" s="38" t="inlineStr">
        <is>
          <t>미국</t>
        </is>
      </c>
      <c r="G163" s="37" t="inlineStr">
        <is>
          <t>TH</t>
        </is>
      </c>
      <c r="H163" s="38" t="inlineStr">
        <is>
          <t>태국 (람차방)</t>
        </is>
      </c>
      <c r="I163" s="38" t="inlineStr">
        <is>
          <t>람차방항 (Laem Chabang) (THLCH)</t>
        </is>
      </c>
      <c r="J163" s="49" t="n">
        <v>0.05</v>
      </c>
      <c r="K163" s="49" t="n">
        <v>0.05</v>
      </c>
      <c r="L163" s="37" t="inlineStr">
        <is>
          <t>N</t>
        </is>
      </c>
      <c r="M163" s="39" t="inlineStr">
        <is>
          <t>-</t>
        </is>
      </c>
      <c r="N163" s="49" t="n">
        <v>0</v>
      </c>
      <c r="O163" s="50">
        <f>IF(L163="Y",K163,J163)+N163</f>
        <v/>
      </c>
      <c r="P163" s="39" t="inlineStr">
        <is>
          <t>WTO/WITS 일반 MFN 세율 적용</t>
        </is>
      </c>
    </row>
    <row r="164" ht="15" customHeight="1" s="32">
      <c r="A164" s="43" t="inlineStr">
        <is>
          <t>ABS</t>
        </is>
      </c>
      <c r="B164" s="43" t="inlineStr">
        <is>
          <t>Resin</t>
        </is>
      </c>
      <c r="C164" s="45" t="inlineStr">
        <is>
          <t>ABS (고기능성 합성수지)</t>
        </is>
      </c>
      <c r="D164" s="43" t="inlineStr">
        <is>
          <t>HS 3903.30</t>
        </is>
      </c>
      <c r="E164" s="43" t="inlineStr">
        <is>
          <t>US</t>
        </is>
      </c>
      <c r="F164" s="44" t="inlineStr">
        <is>
          <t>미국</t>
        </is>
      </c>
      <c r="G164" s="43" t="inlineStr">
        <is>
          <t>ID</t>
        </is>
      </c>
      <c r="H164" s="44" t="inlineStr">
        <is>
          <t>인니 (자카르타)</t>
        </is>
      </c>
      <c r="I164" s="44" t="inlineStr">
        <is>
          <t>탄중프리옥항 (Tanjung Priok) (IDJKT)</t>
        </is>
      </c>
      <c r="J164" s="51" t="n">
        <v>0.1</v>
      </c>
      <c r="K164" s="51" t="n">
        <v>0.1</v>
      </c>
      <c r="L164" s="43" t="inlineStr">
        <is>
          <t>N</t>
        </is>
      </c>
      <c r="M164" s="45" t="inlineStr">
        <is>
          <t>-</t>
        </is>
      </c>
      <c r="N164" s="51" t="n">
        <v>0</v>
      </c>
      <c r="O164" s="52">
        <f>IF(L164="Y",K164,J164)+N164</f>
        <v/>
      </c>
      <c r="P164" s="45" t="inlineStr">
        <is>
          <t>WTO/WITS 일반 MFN 세율 적용</t>
        </is>
      </c>
    </row>
    <row r="165" ht="15" customHeight="1" s="32">
      <c r="A165" s="37" t="inlineStr">
        <is>
          <t>ABS</t>
        </is>
      </c>
      <c r="B165" s="37" t="inlineStr">
        <is>
          <t>Resin</t>
        </is>
      </c>
      <c r="C165" s="39" t="inlineStr">
        <is>
          <t>ABS (고기능성 합성수지)</t>
        </is>
      </c>
      <c r="D165" s="37" t="inlineStr">
        <is>
          <t>HS 3903.30</t>
        </is>
      </c>
      <c r="E165" s="37" t="inlineStr">
        <is>
          <t>US</t>
        </is>
      </c>
      <c r="F165" s="38" t="inlineStr">
        <is>
          <t>미국</t>
        </is>
      </c>
      <c r="G165" s="37" t="inlineStr">
        <is>
          <t>SA</t>
        </is>
      </c>
      <c r="H165" s="38" t="inlineStr">
        <is>
          <t>사우디 (제다)</t>
        </is>
      </c>
      <c r="I165" s="38" t="inlineStr">
        <is>
          <t>제다 이슬람항 (Jeddah Islamic Port) (SAJED)</t>
        </is>
      </c>
      <c r="J165" s="49" t="n">
        <v>0.05</v>
      </c>
      <c r="K165" s="49" t="n">
        <v>0.05</v>
      </c>
      <c r="L165" s="37" t="inlineStr">
        <is>
          <t>N</t>
        </is>
      </c>
      <c r="M165" s="39" t="inlineStr">
        <is>
          <t>-</t>
        </is>
      </c>
      <c r="N165" s="49" t="n">
        <v>0</v>
      </c>
      <c r="O165" s="50">
        <f>IF(L165="Y",K165,J165)+N165</f>
        <v/>
      </c>
      <c r="P165" s="38" t="inlineStr">
        <is>
          <t>제다 이슬람항 통관: GCC 공동관세율(CET) 기본 5.0% 적용</t>
        </is>
      </c>
    </row>
    <row r="166" ht="15" customHeight="1" s="32">
      <c r="A166" s="43" t="inlineStr">
        <is>
          <t>ABS</t>
        </is>
      </c>
      <c r="B166" s="43" t="inlineStr">
        <is>
          <t>Resin</t>
        </is>
      </c>
      <c r="C166" s="45" t="inlineStr">
        <is>
          <t>ABS (고기능성 합성수지)</t>
        </is>
      </c>
      <c r="D166" s="43" t="inlineStr">
        <is>
          <t>HS 3903.30</t>
        </is>
      </c>
      <c r="E166" s="43" t="inlineStr">
        <is>
          <t>US</t>
        </is>
      </c>
      <c r="F166" s="44" t="inlineStr">
        <is>
          <t>미국</t>
        </is>
      </c>
      <c r="G166" s="43" t="inlineStr">
        <is>
          <t>BR</t>
        </is>
      </c>
      <c r="H166" s="44" t="inlineStr">
        <is>
          <t>브라질 (마나우스)</t>
        </is>
      </c>
      <c r="I166" s="44" t="inlineStr">
        <is>
          <t>마나우스항 (Porto de Manaus / Chibatao) (BRMAO)</t>
        </is>
      </c>
      <c r="J166" s="51" t="n">
        <v>0.126</v>
      </c>
      <c r="K166" s="51" t="n">
        <v>0.126</v>
      </c>
      <c r="L166" s="43" t="inlineStr">
        <is>
          <t>N</t>
        </is>
      </c>
      <c r="M166" s="45" t="inlineStr">
        <is>
          <t>-</t>
        </is>
      </c>
      <c r="N166" s="51" t="n">
        <v>0</v>
      </c>
      <c r="O166" s="52">
        <f>IF(L166="Y",K166,J166)+N166</f>
        <v/>
      </c>
      <c r="P166" s="44" t="inlineStr">
        <is>
          <t>마나우스항 통관: Mercosur TEC 12.6% (마나우스 ZFM 88% 감면 시 1.51%)</t>
        </is>
      </c>
    </row>
    <row r="167" ht="15" customHeight="1" s="32">
      <c r="A167" s="37" t="inlineStr">
        <is>
          <t>ABS</t>
        </is>
      </c>
      <c r="B167" s="37" t="inlineStr">
        <is>
          <t>Resin</t>
        </is>
      </c>
      <c r="C167" s="39" t="inlineStr">
        <is>
          <t>ABS (고기능성 합성수지)</t>
        </is>
      </c>
      <c r="D167" s="37" t="inlineStr">
        <is>
          <t>HS 3903.30</t>
        </is>
      </c>
      <c r="E167" s="37" t="inlineStr">
        <is>
          <t>US</t>
        </is>
      </c>
      <c r="F167" s="38" t="inlineStr">
        <is>
          <t>미국</t>
        </is>
      </c>
      <c r="G167" s="37" t="inlineStr">
        <is>
          <t>EG</t>
        </is>
      </c>
      <c r="H167" s="38" t="inlineStr">
        <is>
          <t>이집트 (카이로)</t>
        </is>
      </c>
      <c r="I167" s="38" t="inlineStr">
        <is>
          <t>아인소크나항 (Ain Sokhna) / 알렉산드리아항 (EGSOK / EGALY)</t>
        </is>
      </c>
      <c r="J167" s="49" t="n">
        <v>0.05</v>
      </c>
      <c r="K167" s="49" t="n">
        <v>0.05</v>
      </c>
      <c r="L167" s="37" t="inlineStr">
        <is>
          <t>N</t>
        </is>
      </c>
      <c r="M167" s="39" t="inlineStr">
        <is>
          <t>-</t>
        </is>
      </c>
      <c r="N167" s="49" t="n">
        <v>0</v>
      </c>
      <c r="O167" s="50">
        <f>IF(L167="Y",K167,J167)+N167</f>
        <v/>
      </c>
      <c r="P167" s="38" t="inlineStr">
        <is>
          <t>알렉산드리아항(EGALY)-&gt;카이로: 이집트 합성수지(HS 3902/3903) MFN 기본관세 5.0% 적용</t>
        </is>
      </c>
    </row>
    <row r="168" ht="15" customHeight="1" s="32">
      <c r="A168" s="43" t="inlineStr">
        <is>
          <t>ABS</t>
        </is>
      </c>
      <c r="B168" s="43" t="inlineStr">
        <is>
          <t>Resin</t>
        </is>
      </c>
      <c r="C168" s="45" t="inlineStr">
        <is>
          <t>ABS (고기능성 합성수지)</t>
        </is>
      </c>
      <c r="D168" s="43" t="inlineStr">
        <is>
          <t>HS 3903.30</t>
        </is>
      </c>
      <c r="E168" s="43" t="inlineStr">
        <is>
          <t>US</t>
        </is>
      </c>
      <c r="F168" s="44" t="inlineStr">
        <is>
          <t>미국</t>
        </is>
      </c>
      <c r="G168" s="43" t="inlineStr">
        <is>
          <t>US</t>
        </is>
      </c>
      <c r="H168" s="44" t="inlineStr">
        <is>
          <t>미국 (클락스빌)</t>
        </is>
      </c>
      <c r="I168" s="44" t="inlineStr">
        <is>
          <t>서배너항 (Savannah) / 찰스턴항 + 철도Ramp (USSAV / USCHS)</t>
        </is>
      </c>
      <c r="J168" s="51" t="n">
        <v>0</v>
      </c>
      <c r="K168" s="51" t="n">
        <v>0</v>
      </c>
      <c r="L168" s="43" t="inlineStr">
        <is>
          <t>N</t>
        </is>
      </c>
      <c r="M168" s="44" t="inlineStr">
        <is>
          <t>내수 조달 (관세 없음)</t>
        </is>
      </c>
      <c r="N168" s="51" t="n">
        <v>0</v>
      </c>
      <c r="O168" s="52">
        <f>IF(L168="Y",K168,J168)+N168</f>
        <v/>
      </c>
      <c r="P168" s="44" t="inlineStr">
        <is>
          <t>동일 국가 내 조달 (클락스빌 (Clarksville, TN) 직송, 수입관세 면제)</t>
        </is>
      </c>
    </row>
    <row r="169" ht="15" customHeight="1" s="32">
      <c r="A169" s="37" t="inlineStr">
        <is>
          <t>ABS</t>
        </is>
      </c>
      <c r="B169" s="37" t="inlineStr">
        <is>
          <t>Resin</t>
        </is>
      </c>
      <c r="C169" s="39" t="inlineStr">
        <is>
          <t>ABS (고기능성 합성수지)</t>
        </is>
      </c>
      <c r="D169" s="37" t="inlineStr">
        <is>
          <t>HS 3903.30</t>
        </is>
      </c>
      <c r="E169" s="37" t="inlineStr">
        <is>
          <t>US</t>
        </is>
      </c>
      <c r="F169" s="38" t="inlineStr">
        <is>
          <t>미국</t>
        </is>
      </c>
      <c r="G169" s="37" t="inlineStr">
        <is>
          <t>NO</t>
        </is>
      </c>
      <c r="H169" s="38" t="inlineStr">
        <is>
          <t>노르웨이 (오슬로)</t>
        </is>
      </c>
      <c r="I169" s="38" t="inlineStr">
        <is>
          <t>오슬로항 (Port of Oslo) (NOOSL)</t>
        </is>
      </c>
      <c r="J169" s="49" t="n">
        <v>0</v>
      </c>
      <c r="K169" s="49" t="n">
        <v>0</v>
      </c>
      <c r="L169" s="37" t="inlineStr">
        <is>
          <t>N</t>
        </is>
      </c>
      <c r="M169" s="38" t="inlineStr">
        <is>
          <t>노르웨이 공산품 무관세 (한-EFTA 등)</t>
        </is>
      </c>
      <c r="N169" s="49" t="n">
        <v>0</v>
      </c>
      <c r="O169" s="50">
        <f>IF(L169="Y",K169,J169)+N169</f>
        <v/>
      </c>
      <c r="P169" s="38" t="inlineStr">
        <is>
          <t>오슬로항(NOOSL) 통관: 노르웨이 관세청(Tolltariffen) 철강·합성수지 전 품목 MFN 0% 무관세</t>
        </is>
      </c>
    </row>
    <row r="170" ht="15" customHeight="1" s="32">
      <c r="A170" s="43" t="inlineStr">
        <is>
          <t>CPP</t>
        </is>
      </c>
      <c r="B170" s="43" t="inlineStr">
        <is>
          <t>Resin</t>
        </is>
      </c>
      <c r="C170" s="44" t="inlineStr">
        <is>
          <t>복합PP (Compound PP)</t>
        </is>
      </c>
      <c r="D170" s="43" t="inlineStr">
        <is>
          <t>HS 3902.30</t>
        </is>
      </c>
      <c r="E170" s="43" t="inlineStr">
        <is>
          <t>KR</t>
        </is>
      </c>
      <c r="F170" s="44" t="inlineStr">
        <is>
          <t>한국</t>
        </is>
      </c>
      <c r="G170" s="43" t="inlineStr">
        <is>
          <t>KR</t>
        </is>
      </c>
      <c r="H170" s="44" t="inlineStr">
        <is>
          <t>한국 (부산)</t>
        </is>
      </c>
      <c r="I170" s="44" t="inlineStr">
        <is>
          <t>부산항 (Port of Busan) (KRPUS)</t>
        </is>
      </c>
      <c r="J170" s="51" t="n">
        <v>0</v>
      </c>
      <c r="K170" s="51" t="n">
        <v>0</v>
      </c>
      <c r="L170" s="43" t="inlineStr">
        <is>
          <t>N</t>
        </is>
      </c>
      <c r="M170" s="44" t="inlineStr">
        <is>
          <t>내수 조달 (관세 없음)</t>
        </is>
      </c>
      <c r="N170" s="51" t="n">
        <v>0</v>
      </c>
      <c r="O170" s="52">
        <f>IF(L170="Y",K170,J170)+N170</f>
        <v/>
      </c>
      <c r="P170" s="44" t="inlineStr">
        <is>
          <t>동일 국가 내 조달 (부산 (Busan) 직송, 수입관세 면제)</t>
        </is>
      </c>
    </row>
    <row r="171" ht="15" customHeight="1" s="32">
      <c r="A171" s="37" t="inlineStr">
        <is>
          <t>CPP</t>
        </is>
      </c>
      <c r="B171" s="37" t="inlineStr">
        <is>
          <t>Resin</t>
        </is>
      </c>
      <c r="C171" s="38" t="inlineStr">
        <is>
          <t>복합PP (Compound PP)</t>
        </is>
      </c>
      <c r="D171" s="37" t="inlineStr">
        <is>
          <t>HS 3902.30</t>
        </is>
      </c>
      <c r="E171" s="37" t="inlineStr">
        <is>
          <t>KR</t>
        </is>
      </c>
      <c r="F171" s="38" t="inlineStr">
        <is>
          <t>한국</t>
        </is>
      </c>
      <c r="G171" s="37" t="inlineStr">
        <is>
          <t>CN</t>
        </is>
      </c>
      <c r="H171" s="38" t="inlineStr">
        <is>
          <t>중국 (천진)</t>
        </is>
      </c>
      <c r="I171" s="38" t="inlineStr">
        <is>
          <t>천진 신강항 (Tianjin Xingang) (CNTSN)</t>
        </is>
      </c>
      <c r="J171" s="49" t="n">
        <v>0.065</v>
      </c>
      <c r="K171" s="49" t="n">
        <v>0.045</v>
      </c>
      <c r="L171" s="37" t="inlineStr">
        <is>
          <t>Y</t>
        </is>
      </c>
      <c r="M171" s="38" t="inlineStr">
        <is>
          <t>한-중 FTA / RCEP</t>
        </is>
      </c>
      <c r="N171" s="49" t="n">
        <v>0</v>
      </c>
      <c r="O171" s="50">
        <f>IF(L171="Y",K171,J171)+N171</f>
        <v/>
      </c>
      <c r="P171" s="38" t="inlineStr">
        <is>
          <t>천진 신강항 통관: 한-중 FTA/RCEP 양허세율</t>
        </is>
      </c>
    </row>
    <row r="172" ht="15" customHeight="1" s="32">
      <c r="A172" s="43" t="inlineStr">
        <is>
          <t>CPP</t>
        </is>
      </c>
      <c r="B172" s="43" t="inlineStr">
        <is>
          <t>Resin</t>
        </is>
      </c>
      <c r="C172" s="44" t="inlineStr">
        <is>
          <t>복합PP (Compound PP)</t>
        </is>
      </c>
      <c r="D172" s="43" t="inlineStr">
        <is>
          <t>HS 3902.30</t>
        </is>
      </c>
      <c r="E172" s="43" t="inlineStr">
        <is>
          <t>KR</t>
        </is>
      </c>
      <c r="F172" s="44" t="inlineStr">
        <is>
          <t>한국</t>
        </is>
      </c>
      <c r="G172" s="43" t="inlineStr">
        <is>
          <t>IN_NOI</t>
        </is>
      </c>
      <c r="H172" s="44" t="inlineStr">
        <is>
          <t>인도 (노이다)</t>
        </is>
      </c>
      <c r="I172" s="44" t="inlineStr">
        <is>
          <t>문드라항 (Mundra) + ICD 다드리 (INMUN-&gt;INDAD)</t>
        </is>
      </c>
      <c r="J172" s="51" t="n">
        <v>0.0825</v>
      </c>
      <c r="K172" s="51" t="n">
        <v>0.025</v>
      </c>
      <c r="L172" s="43" t="inlineStr">
        <is>
          <t>Y</t>
        </is>
      </c>
      <c r="M172" s="44" t="inlineStr">
        <is>
          <t>한-인도 CEPA</t>
        </is>
      </c>
      <c r="N172" s="51" t="n">
        <v>0</v>
      </c>
      <c r="O172" s="52">
        <f>IF(L172="Y",K172,J172)+N172</f>
        <v/>
      </c>
      <c r="P172" s="44" t="inlineStr">
        <is>
          <t>문드라항-&gt;ICD 다드리(노이다) 통관: 한-인도 CEPA 합성수지 양허세율 적용</t>
        </is>
      </c>
    </row>
    <row r="173" ht="15" customHeight="1" s="32">
      <c r="A173" s="37" t="inlineStr">
        <is>
          <t>CPP</t>
        </is>
      </c>
      <c r="B173" s="37" t="inlineStr">
        <is>
          <t>Resin</t>
        </is>
      </c>
      <c r="C173" s="38" t="inlineStr">
        <is>
          <t>복합PP (Compound PP)</t>
        </is>
      </c>
      <c r="D173" s="37" t="inlineStr">
        <is>
          <t>HS 3902.30</t>
        </is>
      </c>
      <c r="E173" s="37" t="inlineStr">
        <is>
          <t>KR</t>
        </is>
      </c>
      <c r="F173" s="38" t="inlineStr">
        <is>
          <t>한국</t>
        </is>
      </c>
      <c r="G173" s="37" t="inlineStr">
        <is>
          <t>IN_PUN</t>
        </is>
      </c>
      <c r="H173" s="38" t="inlineStr">
        <is>
          <t>인도 (푸네)</t>
        </is>
      </c>
      <c r="I173" s="38" t="inlineStr">
        <is>
          <t>나바셰바항 (JNPT Mumbai) (INNSA)</t>
        </is>
      </c>
      <c r="J173" s="49" t="n">
        <v>0.0825</v>
      </c>
      <c r="K173" s="49" t="n">
        <v>0.025</v>
      </c>
      <c r="L173" s="37" t="inlineStr">
        <is>
          <t>Y</t>
        </is>
      </c>
      <c r="M173" s="38" t="inlineStr">
        <is>
          <t>한-인도 CEPA</t>
        </is>
      </c>
      <c r="N173" s="49" t="n">
        <v>0</v>
      </c>
      <c r="O173" s="50">
        <f>IF(L173="Y",K173,J173)+N173</f>
        <v/>
      </c>
      <c r="P173" s="38" t="inlineStr">
        <is>
          <t>나바셰바항(푸네) 통관: 한-인도 CEPA 합성수지 양허세율 적용</t>
        </is>
      </c>
    </row>
    <row r="174" ht="15" customHeight="1" s="32">
      <c r="A174" s="43" t="inlineStr">
        <is>
          <t>CPP</t>
        </is>
      </c>
      <c r="B174" s="43" t="inlineStr">
        <is>
          <t>Resin</t>
        </is>
      </c>
      <c r="C174" s="44" t="inlineStr">
        <is>
          <t>복합PP (Compound PP)</t>
        </is>
      </c>
      <c r="D174" s="43" t="inlineStr">
        <is>
          <t>HS 3902.30</t>
        </is>
      </c>
      <c r="E174" s="43" t="inlineStr">
        <is>
          <t>KR</t>
        </is>
      </c>
      <c r="F174" s="44" t="inlineStr">
        <is>
          <t>한국</t>
        </is>
      </c>
      <c r="G174" s="43" t="inlineStr">
        <is>
          <t>TH</t>
        </is>
      </c>
      <c r="H174" s="44" t="inlineStr">
        <is>
          <t>태국 (람차방)</t>
        </is>
      </c>
      <c r="I174" s="44" t="inlineStr">
        <is>
          <t>람차방항 (Laem Chabang) (THLCH)</t>
        </is>
      </c>
      <c r="J174" s="51" t="n">
        <v>0.05</v>
      </c>
      <c r="K174" s="51" t="n">
        <v>0</v>
      </c>
      <c r="L174" s="43" t="inlineStr">
        <is>
          <t>Y</t>
        </is>
      </c>
      <c r="M174" s="45" t="inlineStr">
        <is>
          <t>ASEAN FTA / RCEP</t>
        </is>
      </c>
      <c r="N174" s="51" t="n">
        <v>0</v>
      </c>
      <c r="O174" s="52">
        <f>IF(L174="Y",K174,J174)+N174</f>
        <v/>
      </c>
      <c r="P174" s="44" t="inlineStr">
        <is>
          <t>람차방항 통관: 아세안 역외 FTA 합성수지 0% 양허</t>
        </is>
      </c>
    </row>
    <row r="175" ht="15" customHeight="1" s="32">
      <c r="A175" s="37" t="inlineStr">
        <is>
          <t>CPP</t>
        </is>
      </c>
      <c r="B175" s="37" t="inlineStr">
        <is>
          <t>Resin</t>
        </is>
      </c>
      <c r="C175" s="38" t="inlineStr">
        <is>
          <t>복합PP (Compound PP)</t>
        </is>
      </c>
      <c r="D175" s="37" t="inlineStr">
        <is>
          <t>HS 3902.30</t>
        </is>
      </c>
      <c r="E175" s="37" t="inlineStr">
        <is>
          <t>KR</t>
        </is>
      </c>
      <c r="F175" s="38" t="inlineStr">
        <is>
          <t>한국</t>
        </is>
      </c>
      <c r="G175" s="37" t="inlineStr">
        <is>
          <t>ID</t>
        </is>
      </c>
      <c r="H175" s="38" t="inlineStr">
        <is>
          <t>인니 (자카르타)</t>
        </is>
      </c>
      <c r="I175" s="38" t="inlineStr">
        <is>
          <t>탄중프리옥항 (Tanjung Priok) (IDJKT)</t>
        </is>
      </c>
      <c r="J175" s="49" t="n">
        <v>0.1</v>
      </c>
      <c r="K175" s="49" t="n">
        <v>0</v>
      </c>
      <c r="L175" s="37" t="inlineStr">
        <is>
          <t>Y</t>
        </is>
      </c>
      <c r="M175" s="38" t="inlineStr">
        <is>
          <t>한-인니 CEPA / AKFTA</t>
        </is>
      </c>
      <c r="N175" s="49" t="n">
        <v>0</v>
      </c>
      <c r="O175" s="50">
        <f>IF(L175="Y",K175,J175)+N175</f>
        <v/>
      </c>
      <c r="P175" s="38" t="inlineStr">
        <is>
          <t>탄중프리옥항 통관: IK-CEPA 및 한-아세안 FTA 0%</t>
        </is>
      </c>
    </row>
    <row r="176" ht="15" customHeight="1" s="32">
      <c r="A176" s="43" t="inlineStr">
        <is>
          <t>CPP</t>
        </is>
      </c>
      <c r="B176" s="43" t="inlineStr">
        <is>
          <t>Resin</t>
        </is>
      </c>
      <c r="C176" s="44" t="inlineStr">
        <is>
          <t>복합PP (Compound PP)</t>
        </is>
      </c>
      <c r="D176" s="43" t="inlineStr">
        <is>
          <t>HS 3902.30</t>
        </is>
      </c>
      <c r="E176" s="43" t="inlineStr">
        <is>
          <t>KR</t>
        </is>
      </c>
      <c r="F176" s="44" t="inlineStr">
        <is>
          <t>한국</t>
        </is>
      </c>
      <c r="G176" s="43" t="inlineStr">
        <is>
          <t>SA</t>
        </is>
      </c>
      <c r="H176" s="44" t="inlineStr">
        <is>
          <t>사우디 (제다)</t>
        </is>
      </c>
      <c r="I176" s="44" t="inlineStr">
        <is>
          <t>제다 이슬람항 (Jeddah Islamic Port) (SAJED)</t>
        </is>
      </c>
      <c r="J176" s="51" t="n">
        <v>0.05</v>
      </c>
      <c r="K176" s="51" t="n">
        <v>0</v>
      </c>
      <c r="L176" s="43" t="inlineStr">
        <is>
          <t>Y</t>
        </is>
      </c>
      <c r="M176" s="44" t="inlineStr">
        <is>
          <t>한-GCC FTA</t>
        </is>
      </c>
      <c r="N176" s="51" t="n">
        <v>0</v>
      </c>
      <c r="O176" s="52">
        <f>IF(L176="Y",K176,J176)+N176</f>
        <v/>
      </c>
      <c r="P176" s="44" t="inlineStr">
        <is>
          <t>제다 이슬람항 통관: 한-GCC FTA 합성수지 양허 혜택</t>
        </is>
      </c>
    </row>
    <row r="177" ht="15" customHeight="1" s="32">
      <c r="A177" s="37" t="inlineStr">
        <is>
          <t>CPP</t>
        </is>
      </c>
      <c r="B177" s="37" t="inlineStr">
        <is>
          <t>Resin</t>
        </is>
      </c>
      <c r="C177" s="38" t="inlineStr">
        <is>
          <t>복합PP (Compound PP)</t>
        </is>
      </c>
      <c r="D177" s="37" t="inlineStr">
        <is>
          <t>HS 3902.30</t>
        </is>
      </c>
      <c r="E177" s="37" t="inlineStr">
        <is>
          <t>KR</t>
        </is>
      </c>
      <c r="F177" s="38" t="inlineStr">
        <is>
          <t>한국</t>
        </is>
      </c>
      <c r="G177" s="37" t="inlineStr">
        <is>
          <t>BR</t>
        </is>
      </c>
      <c r="H177" s="38" t="inlineStr">
        <is>
          <t>브라질 (마나우스)</t>
        </is>
      </c>
      <c r="I177" s="38" t="inlineStr">
        <is>
          <t>마나우스항 (Porto de Manaus / Chibatao) (BRMAO)</t>
        </is>
      </c>
      <c r="J177" s="49" t="n">
        <v>0.126</v>
      </c>
      <c r="K177" s="49" t="n">
        <v>0.126</v>
      </c>
      <c r="L177" s="37" t="inlineStr">
        <is>
          <t>N</t>
        </is>
      </c>
      <c r="M177" s="39" t="inlineStr">
        <is>
          <t>-</t>
        </is>
      </c>
      <c r="N177" s="49" t="n">
        <v>0</v>
      </c>
      <c r="O177" s="50">
        <f>IF(L177="Y",K177,J177)+N177</f>
        <v/>
      </c>
      <c r="P177" s="38" t="inlineStr">
        <is>
          <t>마나우스항 통관: Mercosur TEC 12.6% (마나우스 ZFM 88% 감면 시 1.51%)</t>
        </is>
      </c>
    </row>
    <row r="178" ht="15" customHeight="1" s="32">
      <c r="A178" s="43" t="inlineStr">
        <is>
          <t>CPP</t>
        </is>
      </c>
      <c r="B178" s="43" t="inlineStr">
        <is>
          <t>Resin</t>
        </is>
      </c>
      <c r="C178" s="44" t="inlineStr">
        <is>
          <t>복합PP (Compound PP)</t>
        </is>
      </c>
      <c r="D178" s="43" t="inlineStr">
        <is>
          <t>HS 3902.30</t>
        </is>
      </c>
      <c r="E178" s="43" t="inlineStr">
        <is>
          <t>KR</t>
        </is>
      </c>
      <c r="F178" s="44" t="inlineStr">
        <is>
          <t>한국</t>
        </is>
      </c>
      <c r="G178" s="43" t="inlineStr">
        <is>
          <t>EG</t>
        </is>
      </c>
      <c r="H178" s="44" t="inlineStr">
        <is>
          <t>이집트 (카이로)</t>
        </is>
      </c>
      <c r="I178" s="44" t="inlineStr">
        <is>
          <t>아인소크나항 (Ain Sokhna) / 알렉산드리아항 (EGSOK / EGALY)</t>
        </is>
      </c>
      <c r="J178" s="51" t="n">
        <v>0.05</v>
      </c>
      <c r="K178" s="51" t="n">
        <v>0.05</v>
      </c>
      <c r="L178" s="43" t="inlineStr">
        <is>
          <t>N</t>
        </is>
      </c>
      <c r="M178" s="45" t="inlineStr">
        <is>
          <t>-</t>
        </is>
      </c>
      <c r="N178" s="51" t="n">
        <v>0</v>
      </c>
      <c r="O178" s="52">
        <f>IF(L178="Y",K178,J178)+N178</f>
        <v/>
      </c>
      <c r="P178" s="44" t="inlineStr">
        <is>
          <t>아인소크나항(EGSOK)-&gt;카이로: 이집트 합성수지(HS 3902/3903) MFN 기본관세 5.0% 적용</t>
        </is>
      </c>
    </row>
    <row r="179" ht="15" customHeight="1" s="32">
      <c r="A179" s="37" t="inlineStr">
        <is>
          <t>CPP</t>
        </is>
      </c>
      <c r="B179" s="37" t="inlineStr">
        <is>
          <t>Resin</t>
        </is>
      </c>
      <c r="C179" s="38" t="inlineStr">
        <is>
          <t>복합PP (Compound PP)</t>
        </is>
      </c>
      <c r="D179" s="37" t="inlineStr">
        <is>
          <t>HS 3902.30</t>
        </is>
      </c>
      <c r="E179" s="37" t="inlineStr">
        <is>
          <t>KR</t>
        </is>
      </c>
      <c r="F179" s="38" t="inlineStr">
        <is>
          <t>한국</t>
        </is>
      </c>
      <c r="G179" s="37" t="inlineStr">
        <is>
          <t>US</t>
        </is>
      </c>
      <c r="H179" s="38" t="inlineStr">
        <is>
          <t>미국 (클락스빌)</t>
        </is>
      </c>
      <c r="I179" s="38" t="inlineStr">
        <is>
          <t>서배너항 (Savannah) / 찰스턴항 + 철도Ramp (USSAV / USCHS)</t>
        </is>
      </c>
      <c r="J179" s="49" t="n">
        <v>0.065</v>
      </c>
      <c r="K179" s="49" t="n">
        <v>0</v>
      </c>
      <c r="L179" s="37" t="inlineStr">
        <is>
          <t>Y</t>
        </is>
      </c>
      <c r="M179" s="38" t="inlineStr">
        <is>
          <t>한-미 FTA (KORUS)</t>
        </is>
      </c>
      <c r="N179" s="49" t="n">
        <v>0.125</v>
      </c>
      <c r="O179" s="50">
        <f>IF(L179="Y",K179,J179)+N179</f>
        <v/>
      </c>
      <c r="P179" s="38" t="inlineStr">
        <is>
          <t>서배너항-&gt;클락스빌: KORUS 기본 0%이나 2026.7 발효 미국 301조(9903.05.71)로 총 관세 12.5% 상한</t>
        </is>
      </c>
    </row>
    <row r="180" ht="15" customHeight="1" s="32">
      <c r="A180" s="43" t="inlineStr">
        <is>
          <t>CPP</t>
        </is>
      </c>
      <c r="B180" s="43" t="inlineStr">
        <is>
          <t>Resin</t>
        </is>
      </c>
      <c r="C180" s="44" t="inlineStr">
        <is>
          <t>복합PP (Compound PP)</t>
        </is>
      </c>
      <c r="D180" s="43" t="inlineStr">
        <is>
          <t>HS 3902.30</t>
        </is>
      </c>
      <c r="E180" s="43" t="inlineStr">
        <is>
          <t>KR</t>
        </is>
      </c>
      <c r="F180" s="44" t="inlineStr">
        <is>
          <t>한국</t>
        </is>
      </c>
      <c r="G180" s="43" t="inlineStr">
        <is>
          <t>NO</t>
        </is>
      </c>
      <c r="H180" s="44" t="inlineStr">
        <is>
          <t>노르웨이 (오슬로)</t>
        </is>
      </c>
      <c r="I180" s="44" t="inlineStr">
        <is>
          <t>오슬로항 (Port of Oslo) (NOOSL)</t>
        </is>
      </c>
      <c r="J180" s="51" t="n">
        <v>0</v>
      </c>
      <c r="K180" s="51" t="n">
        <v>0</v>
      </c>
      <c r="L180" s="43" t="inlineStr">
        <is>
          <t>N</t>
        </is>
      </c>
      <c r="M180" s="44" t="inlineStr">
        <is>
          <t>노르웨이 공산품 무관세 (한-EFTA 등)</t>
        </is>
      </c>
      <c r="N180" s="51" t="n">
        <v>0</v>
      </c>
      <c r="O180" s="52">
        <f>IF(L180="Y",K180,J180)+N180</f>
        <v/>
      </c>
      <c r="P180" s="44" t="inlineStr">
        <is>
          <t>오슬로항(NOOSL) 통관: 노르웨이 관세청(Tolltariffen) 철강·합성수지 전 품목 MFN 0% 무관세</t>
        </is>
      </c>
    </row>
    <row r="181" ht="15" customHeight="1" s="32">
      <c r="A181" s="37" t="inlineStr">
        <is>
          <t>CPP</t>
        </is>
      </c>
      <c r="B181" s="37" t="inlineStr">
        <is>
          <t>Resin</t>
        </is>
      </c>
      <c r="C181" s="38" t="inlineStr">
        <is>
          <t>복합PP (Compound PP)</t>
        </is>
      </c>
      <c r="D181" s="37" t="inlineStr">
        <is>
          <t>HS 3902.30</t>
        </is>
      </c>
      <c r="E181" s="37" t="inlineStr">
        <is>
          <t>CN</t>
        </is>
      </c>
      <c r="F181" s="38" t="inlineStr">
        <is>
          <t>중국</t>
        </is>
      </c>
      <c r="G181" s="37" t="inlineStr">
        <is>
          <t>KR</t>
        </is>
      </c>
      <c r="H181" s="38" t="inlineStr">
        <is>
          <t>한국 (부산)</t>
        </is>
      </c>
      <c r="I181" s="38" t="inlineStr">
        <is>
          <t>부산항 (Port of Busan) (KRPUS)</t>
        </is>
      </c>
      <c r="J181" s="49" t="n">
        <v>0.065</v>
      </c>
      <c r="K181" s="49" t="n">
        <v>0.032</v>
      </c>
      <c r="L181" s="37" t="inlineStr">
        <is>
          <t>Y</t>
        </is>
      </c>
      <c r="M181" s="38" t="inlineStr">
        <is>
          <t>한-중 FTA / RCEP</t>
        </is>
      </c>
      <c r="N181" s="49" t="n">
        <v>0</v>
      </c>
      <c r="O181" s="50">
        <f>IF(L181="Y",K181,J181)+N181</f>
        <v/>
      </c>
      <c r="P181" s="38" t="inlineStr">
        <is>
          <t>부산항 통관: 한-중 FTA 및 RCEP 양허세율 적용</t>
        </is>
      </c>
    </row>
    <row r="182" ht="15" customHeight="1" s="32">
      <c r="A182" s="43" t="inlineStr">
        <is>
          <t>CPP</t>
        </is>
      </c>
      <c r="B182" s="43" t="inlineStr">
        <is>
          <t>Resin</t>
        </is>
      </c>
      <c r="C182" s="44" t="inlineStr">
        <is>
          <t>복합PP (Compound PP)</t>
        </is>
      </c>
      <c r="D182" s="43" t="inlineStr">
        <is>
          <t>HS 3902.30</t>
        </is>
      </c>
      <c r="E182" s="43" t="inlineStr">
        <is>
          <t>CN</t>
        </is>
      </c>
      <c r="F182" s="44" t="inlineStr">
        <is>
          <t>중국</t>
        </is>
      </c>
      <c r="G182" s="43" t="inlineStr">
        <is>
          <t>CN</t>
        </is>
      </c>
      <c r="H182" s="44" t="inlineStr">
        <is>
          <t>중국 (천진)</t>
        </is>
      </c>
      <c r="I182" s="44" t="inlineStr">
        <is>
          <t>천진 신강항 (Tianjin Xingang) (CNTSN)</t>
        </is>
      </c>
      <c r="J182" s="51" t="n">
        <v>0</v>
      </c>
      <c r="K182" s="51" t="n">
        <v>0</v>
      </c>
      <c r="L182" s="43" t="inlineStr">
        <is>
          <t>N</t>
        </is>
      </c>
      <c r="M182" s="44" t="inlineStr">
        <is>
          <t>내수 조달 (관세 없음)</t>
        </is>
      </c>
      <c r="N182" s="51" t="n">
        <v>0</v>
      </c>
      <c r="O182" s="52">
        <f>IF(L182="Y",K182,J182)+N182</f>
        <v/>
      </c>
      <c r="P182" s="44" t="inlineStr">
        <is>
          <t>동일 국가 내 조달 (천진 (Tianjin) 직송, 수입관세 면제)</t>
        </is>
      </c>
    </row>
    <row r="183" ht="15" customHeight="1" s="32">
      <c r="A183" s="37" t="inlineStr">
        <is>
          <t>CPP</t>
        </is>
      </c>
      <c r="B183" s="37" t="inlineStr">
        <is>
          <t>Resin</t>
        </is>
      </c>
      <c r="C183" s="38" t="inlineStr">
        <is>
          <t>복합PP (Compound PP)</t>
        </is>
      </c>
      <c r="D183" s="37" t="inlineStr">
        <is>
          <t>HS 3902.30</t>
        </is>
      </c>
      <c r="E183" s="37" t="inlineStr">
        <is>
          <t>CN</t>
        </is>
      </c>
      <c r="F183" s="38" t="inlineStr">
        <is>
          <t>중국</t>
        </is>
      </c>
      <c r="G183" s="37" t="inlineStr">
        <is>
          <t>IN_NOI</t>
        </is>
      </c>
      <c r="H183" s="38" t="inlineStr">
        <is>
          <t>인도 (노이다)</t>
        </is>
      </c>
      <c r="I183" s="38" t="inlineStr">
        <is>
          <t>문드라항 (Mundra) + ICD 다드리 (INMUN-&gt;INDAD)</t>
        </is>
      </c>
      <c r="J183" s="49" t="n">
        <v>0.0825</v>
      </c>
      <c r="K183" s="49" t="n">
        <v>0.0825</v>
      </c>
      <c r="L183" s="37" t="inlineStr">
        <is>
          <t>N</t>
        </is>
      </c>
      <c r="M183" s="39" t="inlineStr">
        <is>
          <t>-</t>
        </is>
      </c>
      <c r="N183" s="49" t="n">
        <v>0</v>
      </c>
      <c r="O183" s="50">
        <f>IF(L183="Y",K183,J183)+N183</f>
        <v/>
      </c>
      <c r="P183" s="39" t="inlineStr">
        <is>
          <t>WTO/WITS 일반 MFN 세율 적용</t>
        </is>
      </c>
    </row>
    <row r="184" ht="15" customHeight="1" s="32">
      <c r="A184" s="43" t="inlineStr">
        <is>
          <t>CPP</t>
        </is>
      </c>
      <c r="B184" s="43" t="inlineStr">
        <is>
          <t>Resin</t>
        </is>
      </c>
      <c r="C184" s="44" t="inlineStr">
        <is>
          <t>복합PP (Compound PP)</t>
        </is>
      </c>
      <c r="D184" s="43" t="inlineStr">
        <is>
          <t>HS 3902.30</t>
        </is>
      </c>
      <c r="E184" s="43" t="inlineStr">
        <is>
          <t>CN</t>
        </is>
      </c>
      <c r="F184" s="44" t="inlineStr">
        <is>
          <t>중국</t>
        </is>
      </c>
      <c r="G184" s="43" t="inlineStr">
        <is>
          <t>IN_PUN</t>
        </is>
      </c>
      <c r="H184" s="44" t="inlineStr">
        <is>
          <t>인도 (푸네)</t>
        </is>
      </c>
      <c r="I184" s="44" t="inlineStr">
        <is>
          <t>나바셰바항 (JNPT Mumbai) (INNSA)</t>
        </is>
      </c>
      <c r="J184" s="51" t="n">
        <v>0.0825</v>
      </c>
      <c r="K184" s="51" t="n">
        <v>0.0825</v>
      </c>
      <c r="L184" s="43" t="inlineStr">
        <is>
          <t>N</t>
        </is>
      </c>
      <c r="M184" s="45" t="inlineStr">
        <is>
          <t>-</t>
        </is>
      </c>
      <c r="N184" s="51" t="n">
        <v>0</v>
      </c>
      <c r="O184" s="52">
        <f>IF(L184="Y",K184,J184)+N184</f>
        <v/>
      </c>
      <c r="P184" s="45" t="inlineStr">
        <is>
          <t>WTO/WITS 일반 MFN 세율 적용</t>
        </is>
      </c>
    </row>
    <row r="185" ht="15" customHeight="1" s="32">
      <c r="A185" s="37" t="inlineStr">
        <is>
          <t>CPP</t>
        </is>
      </c>
      <c r="B185" s="37" t="inlineStr">
        <is>
          <t>Resin</t>
        </is>
      </c>
      <c r="C185" s="38" t="inlineStr">
        <is>
          <t>복합PP (Compound PP)</t>
        </is>
      </c>
      <c r="D185" s="37" t="inlineStr">
        <is>
          <t>HS 3902.30</t>
        </is>
      </c>
      <c r="E185" s="37" t="inlineStr">
        <is>
          <t>CN</t>
        </is>
      </c>
      <c r="F185" s="38" t="inlineStr">
        <is>
          <t>중국</t>
        </is>
      </c>
      <c r="G185" s="37" t="inlineStr">
        <is>
          <t>TH</t>
        </is>
      </c>
      <c r="H185" s="38" t="inlineStr">
        <is>
          <t>태국 (람차방)</t>
        </is>
      </c>
      <c r="I185" s="38" t="inlineStr">
        <is>
          <t>람차방항 (Laem Chabang) (THLCH)</t>
        </is>
      </c>
      <c r="J185" s="49" t="n">
        <v>0.05</v>
      </c>
      <c r="K185" s="49" t="n">
        <v>0</v>
      </c>
      <c r="L185" s="37" t="inlineStr">
        <is>
          <t>Y</t>
        </is>
      </c>
      <c r="M185" s="39" t="inlineStr">
        <is>
          <t>ASEAN FTA / RCEP</t>
        </is>
      </c>
      <c r="N185" s="49" t="n">
        <v>0</v>
      </c>
      <c r="O185" s="50">
        <f>IF(L185="Y",K185,J185)+N185</f>
        <v/>
      </c>
      <c r="P185" s="38" t="inlineStr">
        <is>
          <t>람차방항 통관: 아세안 역외 FTA 합성수지 0% 양허</t>
        </is>
      </c>
    </row>
    <row r="186" ht="15" customHeight="1" s="32">
      <c r="A186" s="43" t="inlineStr">
        <is>
          <t>CPP</t>
        </is>
      </c>
      <c r="B186" s="43" t="inlineStr">
        <is>
          <t>Resin</t>
        </is>
      </c>
      <c r="C186" s="44" t="inlineStr">
        <is>
          <t>복합PP (Compound PP)</t>
        </is>
      </c>
      <c r="D186" s="43" t="inlineStr">
        <is>
          <t>HS 3902.30</t>
        </is>
      </c>
      <c r="E186" s="43" t="inlineStr">
        <is>
          <t>CN</t>
        </is>
      </c>
      <c r="F186" s="44" t="inlineStr">
        <is>
          <t>중국</t>
        </is>
      </c>
      <c r="G186" s="43" t="inlineStr">
        <is>
          <t>ID</t>
        </is>
      </c>
      <c r="H186" s="44" t="inlineStr">
        <is>
          <t>인니 (자카르타)</t>
        </is>
      </c>
      <c r="I186" s="44" t="inlineStr">
        <is>
          <t>탄중프리옥항 (Tanjung Priok) (IDJKT)</t>
        </is>
      </c>
      <c r="J186" s="51" t="n">
        <v>0.1</v>
      </c>
      <c r="K186" s="51" t="n">
        <v>0</v>
      </c>
      <c r="L186" s="43" t="inlineStr">
        <is>
          <t>Y</t>
        </is>
      </c>
      <c r="M186" s="44" t="inlineStr">
        <is>
          <t>중-ASEAN FTA (ACFTA)</t>
        </is>
      </c>
      <c r="N186" s="51" t="n">
        <v>0</v>
      </c>
      <c r="O186" s="52">
        <f>IF(L186="Y",K186,J186)+N186</f>
        <v/>
      </c>
      <c r="P186" s="44" t="inlineStr">
        <is>
          <t>탄중프리옥항 통관: ACFTA 0% 양허 적용</t>
        </is>
      </c>
    </row>
    <row r="187" ht="15" customHeight="1" s="32">
      <c r="A187" s="37" t="inlineStr">
        <is>
          <t>CPP</t>
        </is>
      </c>
      <c r="B187" s="37" t="inlineStr">
        <is>
          <t>Resin</t>
        </is>
      </c>
      <c r="C187" s="38" t="inlineStr">
        <is>
          <t>복합PP (Compound PP)</t>
        </is>
      </c>
      <c r="D187" s="37" t="inlineStr">
        <is>
          <t>HS 3902.30</t>
        </is>
      </c>
      <c r="E187" s="37" t="inlineStr">
        <is>
          <t>CN</t>
        </is>
      </c>
      <c r="F187" s="38" t="inlineStr">
        <is>
          <t>중국</t>
        </is>
      </c>
      <c r="G187" s="37" t="inlineStr">
        <is>
          <t>SA</t>
        </is>
      </c>
      <c r="H187" s="38" t="inlineStr">
        <is>
          <t>사우디 (제다)</t>
        </is>
      </c>
      <c r="I187" s="38" t="inlineStr">
        <is>
          <t>제다 이슬람항 (Jeddah Islamic Port) (SAJED)</t>
        </is>
      </c>
      <c r="J187" s="49" t="n">
        <v>0.05</v>
      </c>
      <c r="K187" s="49" t="n">
        <v>0.05</v>
      </c>
      <c r="L187" s="37" t="inlineStr">
        <is>
          <t>N</t>
        </is>
      </c>
      <c r="M187" s="39" t="inlineStr">
        <is>
          <t>-</t>
        </is>
      </c>
      <c r="N187" s="49" t="n">
        <v>0</v>
      </c>
      <c r="O187" s="50">
        <f>IF(L187="Y",K187,J187)+N187</f>
        <v/>
      </c>
      <c r="P187" s="38" t="inlineStr">
        <is>
          <t>제다 이슬람항 통관: GCC 공동관세율(CET) 기본 5.0% 적용</t>
        </is>
      </c>
    </row>
    <row r="188" ht="15" customHeight="1" s="32">
      <c r="A188" s="43" t="inlineStr">
        <is>
          <t>CPP</t>
        </is>
      </c>
      <c r="B188" s="43" t="inlineStr">
        <is>
          <t>Resin</t>
        </is>
      </c>
      <c r="C188" s="44" t="inlineStr">
        <is>
          <t>복합PP (Compound PP)</t>
        </is>
      </c>
      <c r="D188" s="43" t="inlineStr">
        <is>
          <t>HS 3902.30</t>
        </is>
      </c>
      <c r="E188" s="43" t="inlineStr">
        <is>
          <t>CN</t>
        </is>
      </c>
      <c r="F188" s="44" t="inlineStr">
        <is>
          <t>중국</t>
        </is>
      </c>
      <c r="G188" s="43" t="inlineStr">
        <is>
          <t>BR</t>
        </is>
      </c>
      <c r="H188" s="44" t="inlineStr">
        <is>
          <t>브라질 (마나우스)</t>
        </is>
      </c>
      <c r="I188" s="44" t="inlineStr">
        <is>
          <t>마나우스항 (Porto de Manaus / Chibatao) (BRMAO)</t>
        </is>
      </c>
      <c r="J188" s="51" t="n">
        <v>0.126</v>
      </c>
      <c r="K188" s="51" t="n">
        <v>0.126</v>
      </c>
      <c r="L188" s="43" t="inlineStr">
        <is>
          <t>N</t>
        </is>
      </c>
      <c r="M188" s="45" t="inlineStr">
        <is>
          <t>-</t>
        </is>
      </c>
      <c r="N188" s="51" t="n">
        <v>0</v>
      </c>
      <c r="O188" s="52">
        <f>IF(L188="Y",K188,J188)+N188</f>
        <v/>
      </c>
      <c r="P188" s="44" t="inlineStr">
        <is>
          <t>마나우스항 통관: Mercosur TEC 12.6% (마나우스 ZFM 88% 감면 시 1.51%)</t>
        </is>
      </c>
    </row>
    <row r="189" ht="15" customHeight="1" s="32">
      <c r="A189" s="37" t="inlineStr">
        <is>
          <t>CPP</t>
        </is>
      </c>
      <c r="B189" s="37" t="inlineStr">
        <is>
          <t>Resin</t>
        </is>
      </c>
      <c r="C189" s="38" t="inlineStr">
        <is>
          <t>복합PP (Compound PP)</t>
        </is>
      </c>
      <c r="D189" s="37" t="inlineStr">
        <is>
          <t>HS 3902.30</t>
        </is>
      </c>
      <c r="E189" s="37" t="inlineStr">
        <is>
          <t>CN</t>
        </is>
      </c>
      <c r="F189" s="38" t="inlineStr">
        <is>
          <t>중국</t>
        </is>
      </c>
      <c r="G189" s="37" t="inlineStr">
        <is>
          <t>EG</t>
        </is>
      </c>
      <c r="H189" s="38" t="inlineStr">
        <is>
          <t>이집트 (카이로)</t>
        </is>
      </c>
      <c r="I189" s="38" t="inlineStr">
        <is>
          <t>아인소크나항 (Ain Sokhna) / 알렉산드리아항 (EGSOK / EGALY)</t>
        </is>
      </c>
      <c r="J189" s="49" t="n">
        <v>0.05</v>
      </c>
      <c r="K189" s="49" t="n">
        <v>0.05</v>
      </c>
      <c r="L189" s="37" t="inlineStr">
        <is>
          <t>N</t>
        </is>
      </c>
      <c r="M189" s="39" t="inlineStr">
        <is>
          <t>-</t>
        </is>
      </c>
      <c r="N189" s="49" t="n">
        <v>0</v>
      </c>
      <c r="O189" s="50">
        <f>IF(L189="Y",K189,J189)+N189</f>
        <v/>
      </c>
      <c r="P189" s="38" t="inlineStr">
        <is>
          <t>아인소크나항(EGSOK)-&gt;카이로: 이집트 합성수지(HS 3902/3903) MFN 기본관세 5.0% 적용</t>
        </is>
      </c>
    </row>
    <row r="190" ht="15" customHeight="1" s="32">
      <c r="A190" s="43" t="inlineStr">
        <is>
          <t>CPP</t>
        </is>
      </c>
      <c r="B190" s="43" t="inlineStr">
        <is>
          <t>Resin</t>
        </is>
      </c>
      <c r="C190" s="44" t="inlineStr">
        <is>
          <t>복합PP (Compound PP)</t>
        </is>
      </c>
      <c r="D190" s="43" t="inlineStr">
        <is>
          <t>HS 3902.30</t>
        </is>
      </c>
      <c r="E190" s="43" t="inlineStr">
        <is>
          <t>CN</t>
        </is>
      </c>
      <c r="F190" s="44" t="inlineStr">
        <is>
          <t>중국</t>
        </is>
      </c>
      <c r="G190" s="43" t="inlineStr">
        <is>
          <t>US</t>
        </is>
      </c>
      <c r="H190" s="44" t="inlineStr">
        <is>
          <t>미국 (클락스빌)</t>
        </is>
      </c>
      <c r="I190" s="44" t="inlineStr">
        <is>
          <t>서배너항 (Savannah) / 찰스턴항 + 철도Ramp (USSAV / USCHS)</t>
        </is>
      </c>
      <c r="J190" s="51" t="n">
        <v>0.065</v>
      </c>
      <c r="K190" s="51" t="n">
        <v>0.065</v>
      </c>
      <c r="L190" s="43" t="inlineStr">
        <is>
          <t>N</t>
        </is>
      </c>
      <c r="M190" s="45" t="inlineStr">
        <is>
          <t>-</t>
        </is>
      </c>
      <c r="N190" s="51" t="n">
        <v>0.375</v>
      </c>
      <c r="O190" s="52">
        <f>IF(L190="Y",K190,J190)+N190</f>
        <v/>
      </c>
      <c r="P190" s="44" t="inlineStr">
        <is>
          <t>서배너항-&gt;클락스빌: MFN 6.5% + 대중국 301조 List 3(25%) + 2026.7 추가 301조(12.5%) 합산 44.0%</t>
        </is>
      </c>
    </row>
    <row r="191" ht="15" customHeight="1" s="32">
      <c r="A191" s="37" t="inlineStr">
        <is>
          <t>CPP</t>
        </is>
      </c>
      <c r="B191" s="37" t="inlineStr">
        <is>
          <t>Resin</t>
        </is>
      </c>
      <c r="C191" s="38" t="inlineStr">
        <is>
          <t>복합PP (Compound PP)</t>
        </is>
      </c>
      <c r="D191" s="37" t="inlineStr">
        <is>
          <t>HS 3902.30</t>
        </is>
      </c>
      <c r="E191" s="37" t="inlineStr">
        <is>
          <t>CN</t>
        </is>
      </c>
      <c r="F191" s="38" t="inlineStr">
        <is>
          <t>중국</t>
        </is>
      </c>
      <c r="G191" s="37" t="inlineStr">
        <is>
          <t>NO</t>
        </is>
      </c>
      <c r="H191" s="38" t="inlineStr">
        <is>
          <t>노르웨이 (오슬로)</t>
        </is>
      </c>
      <c r="I191" s="38" t="inlineStr">
        <is>
          <t>오슬로항 (Port of Oslo) (NOOSL)</t>
        </is>
      </c>
      <c r="J191" s="49" t="n">
        <v>0</v>
      </c>
      <c r="K191" s="49" t="n">
        <v>0</v>
      </c>
      <c r="L191" s="37" t="inlineStr">
        <is>
          <t>N</t>
        </is>
      </c>
      <c r="M191" s="38" t="inlineStr">
        <is>
          <t>노르웨이 공산품 무관세 (한-EFTA 등)</t>
        </is>
      </c>
      <c r="N191" s="49" t="n">
        <v>0</v>
      </c>
      <c r="O191" s="50">
        <f>IF(L191="Y",K191,J191)+N191</f>
        <v/>
      </c>
      <c r="P191" s="38" t="inlineStr">
        <is>
          <t>오슬로항(NOOSL) 통관: 노르웨이 관세청(Tolltariffen) 철강·합성수지 전 품목 MFN 0% 무관세</t>
        </is>
      </c>
    </row>
    <row r="192" ht="15" customHeight="1" s="32">
      <c r="A192" s="43" t="inlineStr">
        <is>
          <t>CPP</t>
        </is>
      </c>
      <c r="B192" s="43" t="inlineStr">
        <is>
          <t>Resin</t>
        </is>
      </c>
      <c r="C192" s="44" t="inlineStr">
        <is>
          <t>복합PP (Compound PP)</t>
        </is>
      </c>
      <c r="D192" s="43" t="inlineStr">
        <is>
          <t>HS 3902.30</t>
        </is>
      </c>
      <c r="E192" s="43" t="inlineStr">
        <is>
          <t>TH</t>
        </is>
      </c>
      <c r="F192" s="44" t="inlineStr">
        <is>
          <t>태국</t>
        </is>
      </c>
      <c r="G192" s="43" t="inlineStr">
        <is>
          <t>KR</t>
        </is>
      </c>
      <c r="H192" s="44" t="inlineStr">
        <is>
          <t>한국 (부산)</t>
        </is>
      </c>
      <c r="I192" s="44" t="inlineStr">
        <is>
          <t>부산항 (Port of Busan) (KRPUS)</t>
        </is>
      </c>
      <c r="J192" s="51" t="n">
        <v>0.065</v>
      </c>
      <c r="K192" s="51" t="n">
        <v>0</v>
      </c>
      <c r="L192" s="43" t="inlineStr">
        <is>
          <t>Y</t>
        </is>
      </c>
      <c r="M192" s="44" t="inlineStr">
        <is>
          <t>한-ASEAN FTA / RCEP</t>
        </is>
      </c>
      <c r="N192" s="51" t="n">
        <v>0</v>
      </c>
      <c r="O192" s="52">
        <f>IF(L192="Y",K192,J192)+N192</f>
        <v/>
      </c>
      <c r="P192" s="44" t="inlineStr">
        <is>
          <t>부산항 통관: 한-아세안 FTA 0% 양허</t>
        </is>
      </c>
    </row>
    <row r="193" ht="15" customHeight="1" s="32">
      <c r="A193" s="37" t="inlineStr">
        <is>
          <t>CPP</t>
        </is>
      </c>
      <c r="B193" s="37" t="inlineStr">
        <is>
          <t>Resin</t>
        </is>
      </c>
      <c r="C193" s="38" t="inlineStr">
        <is>
          <t>복합PP (Compound PP)</t>
        </is>
      </c>
      <c r="D193" s="37" t="inlineStr">
        <is>
          <t>HS 3902.30</t>
        </is>
      </c>
      <c r="E193" s="37" t="inlineStr">
        <is>
          <t>TH</t>
        </is>
      </c>
      <c r="F193" s="38" t="inlineStr">
        <is>
          <t>태국</t>
        </is>
      </c>
      <c r="G193" s="37" t="inlineStr">
        <is>
          <t>CN</t>
        </is>
      </c>
      <c r="H193" s="38" t="inlineStr">
        <is>
          <t>중국 (천진)</t>
        </is>
      </c>
      <c r="I193" s="38" t="inlineStr">
        <is>
          <t>천진 신강항 (Tianjin Xingang) (CNTSN)</t>
        </is>
      </c>
      <c r="J193" s="49" t="n">
        <v>0.065</v>
      </c>
      <c r="K193" s="49" t="n">
        <v>0</v>
      </c>
      <c r="L193" s="37" t="inlineStr">
        <is>
          <t>Y</t>
        </is>
      </c>
      <c r="M193" s="38" t="inlineStr">
        <is>
          <t>중-ASEAN FTA (ACFTA)</t>
        </is>
      </c>
      <c r="N193" s="49" t="n">
        <v>0</v>
      </c>
      <c r="O193" s="50">
        <f>IF(L193="Y",K193,J193)+N193</f>
        <v/>
      </c>
      <c r="P193" s="38" t="inlineStr">
        <is>
          <t>천진 신강항 통관: 중-아세안 FTA 합성수지 0% 무관세</t>
        </is>
      </c>
    </row>
    <row r="194" ht="15" customHeight="1" s="32">
      <c r="A194" s="43" t="inlineStr">
        <is>
          <t>CPP</t>
        </is>
      </c>
      <c r="B194" s="43" t="inlineStr">
        <is>
          <t>Resin</t>
        </is>
      </c>
      <c r="C194" s="44" t="inlineStr">
        <is>
          <t>복합PP (Compound PP)</t>
        </is>
      </c>
      <c r="D194" s="43" t="inlineStr">
        <is>
          <t>HS 3902.30</t>
        </is>
      </c>
      <c r="E194" s="43" t="inlineStr">
        <is>
          <t>TH</t>
        </is>
      </c>
      <c r="F194" s="44" t="inlineStr">
        <is>
          <t>태국</t>
        </is>
      </c>
      <c r="G194" s="43" t="inlineStr">
        <is>
          <t>IN_NOI</t>
        </is>
      </c>
      <c r="H194" s="44" t="inlineStr">
        <is>
          <t>인도 (노이다)</t>
        </is>
      </c>
      <c r="I194" s="44" t="inlineStr">
        <is>
          <t>문드라항 (Mundra) + ICD 다드리 (INMUN-&gt;INDAD)</t>
        </is>
      </c>
      <c r="J194" s="51" t="n">
        <v>0.0825</v>
      </c>
      <c r="K194" s="51" t="n">
        <v>0.02</v>
      </c>
      <c r="L194" s="43" t="inlineStr">
        <is>
          <t>Y</t>
        </is>
      </c>
      <c r="M194" s="44" t="inlineStr">
        <is>
          <t>인도-ASEAN FTA</t>
        </is>
      </c>
      <c r="N194" s="51" t="n">
        <v>0</v>
      </c>
      <c r="O194" s="52">
        <f>IF(L194="Y",K194,J194)+N194</f>
        <v/>
      </c>
      <c r="P194" s="44" t="inlineStr">
        <is>
          <t>문드라항-&gt;ICD 다드리(노이다) 통관: 인도-아세안 FTA 폴리머 양허세율 적용</t>
        </is>
      </c>
    </row>
    <row r="195" ht="15" customHeight="1" s="32">
      <c r="A195" s="37" t="inlineStr">
        <is>
          <t>CPP</t>
        </is>
      </c>
      <c r="B195" s="37" t="inlineStr">
        <is>
          <t>Resin</t>
        </is>
      </c>
      <c r="C195" s="38" t="inlineStr">
        <is>
          <t>복합PP (Compound PP)</t>
        </is>
      </c>
      <c r="D195" s="37" t="inlineStr">
        <is>
          <t>HS 3902.30</t>
        </is>
      </c>
      <c r="E195" s="37" t="inlineStr">
        <is>
          <t>TH</t>
        </is>
      </c>
      <c r="F195" s="38" t="inlineStr">
        <is>
          <t>태국</t>
        </is>
      </c>
      <c r="G195" s="37" t="inlineStr">
        <is>
          <t>IN_PUN</t>
        </is>
      </c>
      <c r="H195" s="38" t="inlineStr">
        <is>
          <t>인도 (푸네)</t>
        </is>
      </c>
      <c r="I195" s="38" t="inlineStr">
        <is>
          <t>나바셰바항 (JNPT Mumbai) (INNSA)</t>
        </is>
      </c>
      <c r="J195" s="49" t="n">
        <v>0.0825</v>
      </c>
      <c r="K195" s="49" t="n">
        <v>0.02</v>
      </c>
      <c r="L195" s="37" t="inlineStr">
        <is>
          <t>Y</t>
        </is>
      </c>
      <c r="M195" s="38" t="inlineStr">
        <is>
          <t>인도-ASEAN FTA</t>
        </is>
      </c>
      <c r="N195" s="49" t="n">
        <v>0</v>
      </c>
      <c r="O195" s="50">
        <f>IF(L195="Y",K195,J195)+N195</f>
        <v/>
      </c>
      <c r="P195" s="38" t="inlineStr">
        <is>
          <t>나바셰바항(푸네) 통관: 인도-아세안 FTA 폴리머 양허세율 적용</t>
        </is>
      </c>
    </row>
    <row r="196" ht="15" customHeight="1" s="32">
      <c r="A196" s="43" t="inlineStr">
        <is>
          <t>CPP</t>
        </is>
      </c>
      <c r="B196" s="43" t="inlineStr">
        <is>
          <t>Resin</t>
        </is>
      </c>
      <c r="C196" s="44" t="inlineStr">
        <is>
          <t>복합PP (Compound PP)</t>
        </is>
      </c>
      <c r="D196" s="43" t="inlineStr">
        <is>
          <t>HS 3902.30</t>
        </is>
      </c>
      <c r="E196" s="43" t="inlineStr">
        <is>
          <t>TH</t>
        </is>
      </c>
      <c r="F196" s="44" t="inlineStr">
        <is>
          <t>태국</t>
        </is>
      </c>
      <c r="G196" s="43" t="inlineStr">
        <is>
          <t>TH</t>
        </is>
      </c>
      <c r="H196" s="44" t="inlineStr">
        <is>
          <t>태국 (람차방)</t>
        </is>
      </c>
      <c r="I196" s="44" t="inlineStr">
        <is>
          <t>람차방항 (Laem Chabang) (THLCH)</t>
        </is>
      </c>
      <c r="J196" s="51" t="n">
        <v>0</v>
      </c>
      <c r="K196" s="51" t="n">
        <v>0</v>
      </c>
      <c r="L196" s="43" t="inlineStr">
        <is>
          <t>N</t>
        </is>
      </c>
      <c r="M196" s="44" t="inlineStr">
        <is>
          <t>내수 조달 (관세 없음)</t>
        </is>
      </c>
      <c r="N196" s="51" t="n">
        <v>0</v>
      </c>
      <c r="O196" s="52">
        <f>IF(L196="Y",K196,J196)+N196</f>
        <v/>
      </c>
      <c r="P196" s="44" t="inlineStr">
        <is>
          <t>동일 국가 내 조달 (람차방 / 라용 (Laem Chabang) 직송, 수입관세 면제)</t>
        </is>
      </c>
    </row>
    <row r="197" ht="15" customHeight="1" s="32">
      <c r="A197" s="37" t="inlineStr">
        <is>
          <t>CPP</t>
        </is>
      </c>
      <c r="B197" s="37" t="inlineStr">
        <is>
          <t>Resin</t>
        </is>
      </c>
      <c r="C197" s="38" t="inlineStr">
        <is>
          <t>복합PP (Compound PP)</t>
        </is>
      </c>
      <c r="D197" s="37" t="inlineStr">
        <is>
          <t>HS 3902.30</t>
        </is>
      </c>
      <c r="E197" s="37" t="inlineStr">
        <is>
          <t>TH</t>
        </is>
      </c>
      <c r="F197" s="38" t="inlineStr">
        <is>
          <t>태국</t>
        </is>
      </c>
      <c r="G197" s="37" t="inlineStr">
        <is>
          <t>ID</t>
        </is>
      </c>
      <c r="H197" s="38" t="inlineStr">
        <is>
          <t>인니 (자카르타)</t>
        </is>
      </c>
      <c r="I197" s="38" t="inlineStr">
        <is>
          <t>탄중프리옥항 (Tanjung Priok) (IDJKT)</t>
        </is>
      </c>
      <c r="J197" s="49" t="n">
        <v>0.1</v>
      </c>
      <c r="K197" s="49" t="n">
        <v>0</v>
      </c>
      <c r="L197" s="37" t="inlineStr">
        <is>
          <t>Y</t>
        </is>
      </c>
      <c r="M197" s="39" t="inlineStr">
        <is>
          <t>ATIGA (아세안무역협정)</t>
        </is>
      </c>
      <c r="N197" s="49" t="n">
        <v>0</v>
      </c>
      <c r="O197" s="50">
        <f>IF(L197="Y",K197,J197)+N197</f>
        <v/>
      </c>
      <c r="P197" s="38" t="inlineStr">
        <is>
          <t>탄중프리옥항 통관: ATIGA 역내 무관세(0%)</t>
        </is>
      </c>
    </row>
    <row r="198" ht="15" customHeight="1" s="32">
      <c r="A198" s="43" t="inlineStr">
        <is>
          <t>CPP</t>
        </is>
      </c>
      <c r="B198" s="43" t="inlineStr">
        <is>
          <t>Resin</t>
        </is>
      </c>
      <c r="C198" s="44" t="inlineStr">
        <is>
          <t>복합PP (Compound PP)</t>
        </is>
      </c>
      <c r="D198" s="43" t="inlineStr">
        <is>
          <t>HS 3902.30</t>
        </is>
      </c>
      <c r="E198" s="43" t="inlineStr">
        <is>
          <t>TH</t>
        </is>
      </c>
      <c r="F198" s="44" t="inlineStr">
        <is>
          <t>태국</t>
        </is>
      </c>
      <c r="G198" s="43" t="inlineStr">
        <is>
          <t>SA</t>
        </is>
      </c>
      <c r="H198" s="44" t="inlineStr">
        <is>
          <t>사우디 (제다)</t>
        </is>
      </c>
      <c r="I198" s="44" t="inlineStr">
        <is>
          <t>제다 이슬람항 (Jeddah Islamic Port) (SAJED)</t>
        </is>
      </c>
      <c r="J198" s="51" t="n">
        <v>0.05</v>
      </c>
      <c r="K198" s="51" t="n">
        <v>0.05</v>
      </c>
      <c r="L198" s="43" t="inlineStr">
        <is>
          <t>N</t>
        </is>
      </c>
      <c r="M198" s="45" t="inlineStr">
        <is>
          <t>-</t>
        </is>
      </c>
      <c r="N198" s="51" t="n">
        <v>0</v>
      </c>
      <c r="O198" s="52">
        <f>IF(L198="Y",K198,J198)+N198</f>
        <v/>
      </c>
      <c r="P198" s="44" t="inlineStr">
        <is>
          <t>제다 이슬람항 통관: GCC 공동관세율(CET) 기본 5.0% 적용</t>
        </is>
      </c>
    </row>
    <row r="199" ht="15" customHeight="1" s="32">
      <c r="A199" s="37" t="inlineStr">
        <is>
          <t>CPP</t>
        </is>
      </c>
      <c r="B199" s="37" t="inlineStr">
        <is>
          <t>Resin</t>
        </is>
      </c>
      <c r="C199" s="38" t="inlineStr">
        <is>
          <t>복합PP (Compound PP)</t>
        </is>
      </c>
      <c r="D199" s="37" t="inlineStr">
        <is>
          <t>HS 3902.30</t>
        </is>
      </c>
      <c r="E199" s="37" t="inlineStr">
        <is>
          <t>TH</t>
        </is>
      </c>
      <c r="F199" s="38" t="inlineStr">
        <is>
          <t>태국</t>
        </is>
      </c>
      <c r="G199" s="37" t="inlineStr">
        <is>
          <t>BR</t>
        </is>
      </c>
      <c r="H199" s="38" t="inlineStr">
        <is>
          <t>브라질 (마나우스)</t>
        </is>
      </c>
      <c r="I199" s="38" t="inlineStr">
        <is>
          <t>마나우스항 (Porto de Manaus / Chibatao) (BRMAO)</t>
        </is>
      </c>
      <c r="J199" s="49" t="n">
        <v>0.126</v>
      </c>
      <c r="K199" s="49" t="n">
        <v>0.126</v>
      </c>
      <c r="L199" s="37" t="inlineStr">
        <is>
          <t>N</t>
        </is>
      </c>
      <c r="M199" s="39" t="inlineStr">
        <is>
          <t>-</t>
        </is>
      </c>
      <c r="N199" s="49" t="n">
        <v>0</v>
      </c>
      <c r="O199" s="50">
        <f>IF(L199="Y",K199,J199)+N199</f>
        <v/>
      </c>
      <c r="P199" s="38" t="inlineStr">
        <is>
          <t>마나우스항 통관: Mercosur TEC 12.6% (마나우스 ZFM 88% 감면 시 1.51%)</t>
        </is>
      </c>
    </row>
    <row r="200" ht="15" customHeight="1" s="32">
      <c r="A200" s="43" t="inlineStr">
        <is>
          <t>CPP</t>
        </is>
      </c>
      <c r="B200" s="43" t="inlineStr">
        <is>
          <t>Resin</t>
        </is>
      </c>
      <c r="C200" s="44" t="inlineStr">
        <is>
          <t>복합PP (Compound PP)</t>
        </is>
      </c>
      <c r="D200" s="43" t="inlineStr">
        <is>
          <t>HS 3902.30</t>
        </is>
      </c>
      <c r="E200" s="43" t="inlineStr">
        <is>
          <t>TH</t>
        </is>
      </c>
      <c r="F200" s="44" t="inlineStr">
        <is>
          <t>태국</t>
        </is>
      </c>
      <c r="G200" s="43" t="inlineStr">
        <is>
          <t>EG</t>
        </is>
      </c>
      <c r="H200" s="44" t="inlineStr">
        <is>
          <t>이집트 (카이로)</t>
        </is>
      </c>
      <c r="I200" s="44" t="inlineStr">
        <is>
          <t>아인소크나항 (Ain Sokhna) / 알렉산드리아항 (EGSOK / EGALY)</t>
        </is>
      </c>
      <c r="J200" s="51" t="n">
        <v>0.05</v>
      </c>
      <c r="K200" s="51" t="n">
        <v>0.05</v>
      </c>
      <c r="L200" s="43" t="inlineStr">
        <is>
          <t>N</t>
        </is>
      </c>
      <c r="M200" s="45" t="inlineStr">
        <is>
          <t>-</t>
        </is>
      </c>
      <c r="N200" s="51" t="n">
        <v>0</v>
      </c>
      <c r="O200" s="52">
        <f>IF(L200="Y",K200,J200)+N200</f>
        <v/>
      </c>
      <c r="P200" s="44" t="inlineStr">
        <is>
          <t>아인소크나항(EGSOK)-&gt;카이로: 이집트 합성수지(HS 3902/3903) MFN 기본관세 5.0% 적용</t>
        </is>
      </c>
    </row>
    <row r="201" ht="15" customHeight="1" s="32">
      <c r="A201" s="37" t="inlineStr">
        <is>
          <t>CPP</t>
        </is>
      </c>
      <c r="B201" s="37" t="inlineStr">
        <is>
          <t>Resin</t>
        </is>
      </c>
      <c r="C201" s="38" t="inlineStr">
        <is>
          <t>복합PP (Compound PP)</t>
        </is>
      </c>
      <c r="D201" s="37" t="inlineStr">
        <is>
          <t>HS 3902.30</t>
        </is>
      </c>
      <c r="E201" s="37" t="inlineStr">
        <is>
          <t>TH</t>
        </is>
      </c>
      <c r="F201" s="38" t="inlineStr">
        <is>
          <t>태국</t>
        </is>
      </c>
      <c r="G201" s="37" t="inlineStr">
        <is>
          <t>US</t>
        </is>
      </c>
      <c r="H201" s="38" t="inlineStr">
        <is>
          <t>미국 (클락스빌)</t>
        </is>
      </c>
      <c r="I201" s="38" t="inlineStr">
        <is>
          <t>서배너항 (Savannah) / 찰스턴항 + 철도Ramp (USSAV / USCHS)</t>
        </is>
      </c>
      <c r="J201" s="49" t="n">
        <v>0.065</v>
      </c>
      <c r="K201" s="49" t="n">
        <v>0.065</v>
      </c>
      <c r="L201" s="37" t="inlineStr">
        <is>
          <t>N</t>
        </is>
      </c>
      <c r="M201" s="39" t="inlineStr">
        <is>
          <t>-</t>
        </is>
      </c>
      <c r="N201" s="49" t="n">
        <v>0.125</v>
      </c>
      <c r="O201" s="50">
        <f>IF(L201="Y",K201,J201)+N201</f>
        <v/>
      </c>
      <c r="P201" s="38" t="inlineStr">
        <is>
          <t>서배너항-&gt;클락스빌: MFN 6.5% + 2026.7 미국 301조(태국산 +12.5%p) 합산 19.0%</t>
        </is>
      </c>
    </row>
    <row r="202" ht="15" customHeight="1" s="32">
      <c r="A202" s="43" t="inlineStr">
        <is>
          <t>CPP</t>
        </is>
      </c>
      <c r="B202" s="43" t="inlineStr">
        <is>
          <t>Resin</t>
        </is>
      </c>
      <c r="C202" s="44" t="inlineStr">
        <is>
          <t>복합PP (Compound PP)</t>
        </is>
      </c>
      <c r="D202" s="43" t="inlineStr">
        <is>
          <t>HS 3902.30</t>
        </is>
      </c>
      <c r="E202" s="43" t="inlineStr">
        <is>
          <t>TH</t>
        </is>
      </c>
      <c r="F202" s="44" t="inlineStr">
        <is>
          <t>태국</t>
        </is>
      </c>
      <c r="G202" s="43" t="inlineStr">
        <is>
          <t>NO</t>
        </is>
      </c>
      <c r="H202" s="44" t="inlineStr">
        <is>
          <t>노르웨이 (오슬로)</t>
        </is>
      </c>
      <c r="I202" s="44" t="inlineStr">
        <is>
          <t>오슬로항 (Port of Oslo) (NOOSL)</t>
        </is>
      </c>
      <c r="J202" s="51" t="n">
        <v>0</v>
      </c>
      <c r="K202" s="51" t="n">
        <v>0</v>
      </c>
      <c r="L202" s="43" t="inlineStr">
        <is>
          <t>N</t>
        </is>
      </c>
      <c r="M202" s="44" t="inlineStr">
        <is>
          <t>노르웨이 공산품 무관세 (한-EFTA 등)</t>
        </is>
      </c>
      <c r="N202" s="51" t="n">
        <v>0</v>
      </c>
      <c r="O202" s="52">
        <f>IF(L202="Y",K202,J202)+N202</f>
        <v/>
      </c>
      <c r="P202" s="44" t="inlineStr">
        <is>
          <t>오슬로항(NOOSL) 통관: 노르웨이 관세청(Tolltariffen) 철강·합성수지 전 품목 MFN 0% 무관세</t>
        </is>
      </c>
    </row>
    <row r="203" ht="15" customHeight="1" s="32">
      <c r="A203" s="37" t="inlineStr">
        <is>
          <t>CPP</t>
        </is>
      </c>
      <c r="B203" s="37" t="inlineStr">
        <is>
          <t>Resin</t>
        </is>
      </c>
      <c r="C203" s="38" t="inlineStr">
        <is>
          <t>복합PP (Compound PP)</t>
        </is>
      </c>
      <c r="D203" s="37" t="inlineStr">
        <is>
          <t>HS 3902.30</t>
        </is>
      </c>
      <c r="E203" s="37" t="inlineStr">
        <is>
          <t>IN</t>
        </is>
      </c>
      <c r="F203" s="38" t="inlineStr">
        <is>
          <t>인도</t>
        </is>
      </c>
      <c r="G203" s="37" t="inlineStr">
        <is>
          <t>KR</t>
        </is>
      </c>
      <c r="H203" s="38" t="inlineStr">
        <is>
          <t>한국 (부산)</t>
        </is>
      </c>
      <c r="I203" s="38" t="inlineStr">
        <is>
          <t>부산항 (Port of Busan) (KRPUS)</t>
        </is>
      </c>
      <c r="J203" s="49" t="n">
        <v>0.065</v>
      </c>
      <c r="K203" s="49" t="n">
        <v>0</v>
      </c>
      <c r="L203" s="37" t="inlineStr">
        <is>
          <t>Y</t>
        </is>
      </c>
      <c r="M203" s="38" t="inlineStr">
        <is>
          <t>한-인도 CEPA</t>
        </is>
      </c>
      <c r="N203" s="49" t="n">
        <v>0</v>
      </c>
      <c r="O203" s="50">
        <f>IF(L203="Y",K203,J203)+N203</f>
        <v/>
      </c>
      <c r="P203" s="38" t="inlineStr">
        <is>
          <t>부산항 통관: 한-인도 CEPA 0% 양허</t>
        </is>
      </c>
    </row>
    <row r="204" ht="15" customHeight="1" s="32">
      <c r="A204" s="43" t="inlineStr">
        <is>
          <t>CPP</t>
        </is>
      </c>
      <c r="B204" s="43" t="inlineStr">
        <is>
          <t>Resin</t>
        </is>
      </c>
      <c r="C204" s="44" t="inlineStr">
        <is>
          <t>복합PP (Compound PP)</t>
        </is>
      </c>
      <c r="D204" s="43" t="inlineStr">
        <is>
          <t>HS 3902.30</t>
        </is>
      </c>
      <c r="E204" s="43" t="inlineStr">
        <is>
          <t>IN</t>
        </is>
      </c>
      <c r="F204" s="44" t="inlineStr">
        <is>
          <t>인도</t>
        </is>
      </c>
      <c r="G204" s="43" t="inlineStr">
        <is>
          <t>CN</t>
        </is>
      </c>
      <c r="H204" s="44" t="inlineStr">
        <is>
          <t>중국 (천진)</t>
        </is>
      </c>
      <c r="I204" s="44" t="inlineStr">
        <is>
          <t>천진 신강항 (Tianjin Xingang) (CNTSN)</t>
        </is>
      </c>
      <c r="J204" s="51" t="n">
        <v>0.065</v>
      </c>
      <c r="K204" s="51" t="n">
        <v>0.065</v>
      </c>
      <c r="L204" s="43" t="inlineStr">
        <is>
          <t>N</t>
        </is>
      </c>
      <c r="M204" s="45" t="inlineStr">
        <is>
          <t>-</t>
        </is>
      </c>
      <c r="N204" s="51" t="n">
        <v>0</v>
      </c>
      <c r="O204" s="52">
        <f>IF(L204="Y",K204,J204)+N204</f>
        <v/>
      </c>
      <c r="P204" s="45" t="inlineStr">
        <is>
          <t>WTO/WITS 일반 MFN 세율 적용</t>
        </is>
      </c>
    </row>
    <row r="205" ht="15" customHeight="1" s="32">
      <c r="A205" s="37" t="inlineStr">
        <is>
          <t>CPP</t>
        </is>
      </c>
      <c r="B205" s="37" t="inlineStr">
        <is>
          <t>Resin</t>
        </is>
      </c>
      <c r="C205" s="38" t="inlineStr">
        <is>
          <t>복합PP (Compound PP)</t>
        </is>
      </c>
      <c r="D205" s="37" t="inlineStr">
        <is>
          <t>HS 3902.30</t>
        </is>
      </c>
      <c r="E205" s="37" t="inlineStr">
        <is>
          <t>IN</t>
        </is>
      </c>
      <c r="F205" s="38" t="inlineStr">
        <is>
          <t>인도</t>
        </is>
      </c>
      <c r="G205" s="37" t="inlineStr">
        <is>
          <t>IN_NOI</t>
        </is>
      </c>
      <c r="H205" s="38" t="inlineStr">
        <is>
          <t>인도 (노이다)</t>
        </is>
      </c>
      <c r="I205" s="38" t="inlineStr">
        <is>
          <t>문드라항 (Mundra) + ICD 다드리 (INMUN-&gt;INDAD)</t>
        </is>
      </c>
      <c r="J205" s="49" t="n">
        <v>0</v>
      </c>
      <c r="K205" s="49" t="n">
        <v>0</v>
      </c>
      <c r="L205" s="37" t="inlineStr">
        <is>
          <t>N</t>
        </is>
      </c>
      <c r="M205" s="38" t="inlineStr">
        <is>
          <t>내수 조달 (관세 없음)</t>
        </is>
      </c>
      <c r="N205" s="49" t="n">
        <v>0</v>
      </c>
      <c r="O205" s="50">
        <f>IF(L205="Y",K205,J205)+N205</f>
        <v/>
      </c>
      <c r="P205" s="38" t="inlineStr">
        <is>
          <t>동일 국가 내 조달 (노이다 (Noida, Delhi NCR) 직송, 수입관세 면제)</t>
        </is>
      </c>
    </row>
    <row r="206" ht="15" customHeight="1" s="32">
      <c r="A206" s="43" t="inlineStr">
        <is>
          <t>CPP</t>
        </is>
      </c>
      <c r="B206" s="43" t="inlineStr">
        <is>
          <t>Resin</t>
        </is>
      </c>
      <c r="C206" s="44" t="inlineStr">
        <is>
          <t>복합PP (Compound PP)</t>
        </is>
      </c>
      <c r="D206" s="43" t="inlineStr">
        <is>
          <t>HS 3902.30</t>
        </is>
      </c>
      <c r="E206" s="43" t="inlineStr">
        <is>
          <t>IN</t>
        </is>
      </c>
      <c r="F206" s="44" t="inlineStr">
        <is>
          <t>인도</t>
        </is>
      </c>
      <c r="G206" s="43" t="inlineStr">
        <is>
          <t>IN_PUN</t>
        </is>
      </c>
      <c r="H206" s="44" t="inlineStr">
        <is>
          <t>인도 (푸네)</t>
        </is>
      </c>
      <c r="I206" s="44" t="inlineStr">
        <is>
          <t>나바셰바항 (JNPT Mumbai) (INNSA)</t>
        </is>
      </c>
      <c r="J206" s="51" t="n">
        <v>0</v>
      </c>
      <c r="K206" s="51" t="n">
        <v>0</v>
      </c>
      <c r="L206" s="43" t="inlineStr">
        <is>
          <t>N</t>
        </is>
      </c>
      <c r="M206" s="44" t="inlineStr">
        <is>
          <t>내수 조달 (관세 없음)</t>
        </is>
      </c>
      <c r="N206" s="51" t="n">
        <v>0</v>
      </c>
      <c r="O206" s="52">
        <f>IF(L206="Y",K206,J206)+N206</f>
        <v/>
      </c>
      <c r="P206" s="44" t="inlineStr">
        <is>
          <t>동일 국가 내 조달 (푸네 (Pune, Maharashtra) 직송, 수입관세 면제)</t>
        </is>
      </c>
    </row>
    <row r="207" ht="15" customHeight="1" s="32">
      <c r="A207" s="37" t="inlineStr">
        <is>
          <t>CPP</t>
        </is>
      </c>
      <c r="B207" s="37" t="inlineStr">
        <is>
          <t>Resin</t>
        </is>
      </c>
      <c r="C207" s="38" t="inlineStr">
        <is>
          <t>복합PP (Compound PP)</t>
        </is>
      </c>
      <c r="D207" s="37" t="inlineStr">
        <is>
          <t>HS 3902.30</t>
        </is>
      </c>
      <c r="E207" s="37" t="inlineStr">
        <is>
          <t>IN</t>
        </is>
      </c>
      <c r="F207" s="38" t="inlineStr">
        <is>
          <t>인도</t>
        </is>
      </c>
      <c r="G207" s="37" t="inlineStr">
        <is>
          <t>TH</t>
        </is>
      </c>
      <c r="H207" s="38" t="inlineStr">
        <is>
          <t>태국 (람차방)</t>
        </is>
      </c>
      <c r="I207" s="38" t="inlineStr">
        <is>
          <t>람차방항 (Laem Chabang) (THLCH)</t>
        </is>
      </c>
      <c r="J207" s="49" t="n">
        <v>0.05</v>
      </c>
      <c r="K207" s="49" t="n">
        <v>0</v>
      </c>
      <c r="L207" s="37" t="inlineStr">
        <is>
          <t>Y</t>
        </is>
      </c>
      <c r="M207" s="39" t="inlineStr">
        <is>
          <t>ASEAN-인도 FTA</t>
        </is>
      </c>
      <c r="N207" s="49" t="n">
        <v>0</v>
      </c>
      <c r="O207" s="50">
        <f>IF(L207="Y",K207,J207)+N207</f>
        <v/>
      </c>
      <c r="P207" s="38" t="inlineStr">
        <is>
          <t>람차방항 통관: 아세안 역외 FTA 합성수지 0% 양허</t>
        </is>
      </c>
    </row>
    <row r="208" ht="15" customHeight="1" s="32">
      <c r="A208" s="43" t="inlineStr">
        <is>
          <t>CPP</t>
        </is>
      </c>
      <c r="B208" s="43" t="inlineStr">
        <is>
          <t>Resin</t>
        </is>
      </c>
      <c r="C208" s="44" t="inlineStr">
        <is>
          <t>복합PP (Compound PP)</t>
        </is>
      </c>
      <c r="D208" s="43" t="inlineStr">
        <is>
          <t>HS 3902.30</t>
        </is>
      </c>
      <c r="E208" s="43" t="inlineStr">
        <is>
          <t>IN</t>
        </is>
      </c>
      <c r="F208" s="44" t="inlineStr">
        <is>
          <t>인도</t>
        </is>
      </c>
      <c r="G208" s="43" t="inlineStr">
        <is>
          <t>ID</t>
        </is>
      </c>
      <c r="H208" s="44" t="inlineStr">
        <is>
          <t>인니 (자카르타)</t>
        </is>
      </c>
      <c r="I208" s="44" t="inlineStr">
        <is>
          <t>탄중프리옥항 (Tanjung Priok) (IDJKT)</t>
        </is>
      </c>
      <c r="J208" s="51" t="n">
        <v>0.1</v>
      </c>
      <c r="K208" s="51" t="n">
        <v>0.05</v>
      </c>
      <c r="L208" s="43" t="inlineStr">
        <is>
          <t>Y</t>
        </is>
      </c>
      <c r="M208" s="44" t="inlineStr">
        <is>
          <t>인도-ASEAN FTA</t>
        </is>
      </c>
      <c r="N208" s="51" t="n">
        <v>0</v>
      </c>
      <c r="O208" s="52">
        <f>IF(L208="Y",K208,J208)+N208</f>
        <v/>
      </c>
      <c r="P208" s="44" t="inlineStr">
        <is>
          <t>탄중프리옥항 통관: 인도-아세안 FTA 양허세율 적용</t>
        </is>
      </c>
    </row>
    <row r="209" ht="15" customHeight="1" s="32">
      <c r="A209" s="37" t="inlineStr">
        <is>
          <t>CPP</t>
        </is>
      </c>
      <c r="B209" s="37" t="inlineStr">
        <is>
          <t>Resin</t>
        </is>
      </c>
      <c r="C209" s="38" t="inlineStr">
        <is>
          <t>복합PP (Compound PP)</t>
        </is>
      </c>
      <c r="D209" s="37" t="inlineStr">
        <is>
          <t>HS 3902.30</t>
        </is>
      </c>
      <c r="E209" s="37" t="inlineStr">
        <is>
          <t>IN</t>
        </is>
      </c>
      <c r="F209" s="38" t="inlineStr">
        <is>
          <t>인도</t>
        </is>
      </c>
      <c r="G209" s="37" t="inlineStr">
        <is>
          <t>SA</t>
        </is>
      </c>
      <c r="H209" s="38" t="inlineStr">
        <is>
          <t>사우디 (제다)</t>
        </is>
      </c>
      <c r="I209" s="38" t="inlineStr">
        <is>
          <t>제다 이슬람항 (Jeddah Islamic Port) (SAJED)</t>
        </is>
      </c>
      <c r="J209" s="49" t="n">
        <v>0.05</v>
      </c>
      <c r="K209" s="49" t="n">
        <v>0.05</v>
      </c>
      <c r="L209" s="37" t="inlineStr">
        <is>
          <t>N</t>
        </is>
      </c>
      <c r="M209" s="39" t="inlineStr">
        <is>
          <t>-</t>
        </is>
      </c>
      <c r="N209" s="49" t="n">
        <v>0</v>
      </c>
      <c r="O209" s="50">
        <f>IF(L209="Y",K209,J209)+N209</f>
        <v/>
      </c>
      <c r="P209" s="38" t="inlineStr">
        <is>
          <t>제다 이슬람항 통관: GCC 공동관세율(CET) 기본 5.0% 적용</t>
        </is>
      </c>
    </row>
    <row r="210" ht="15" customHeight="1" s="32">
      <c r="A210" s="43" t="inlineStr">
        <is>
          <t>CPP</t>
        </is>
      </c>
      <c r="B210" s="43" t="inlineStr">
        <is>
          <t>Resin</t>
        </is>
      </c>
      <c r="C210" s="44" t="inlineStr">
        <is>
          <t>복합PP (Compound PP)</t>
        </is>
      </c>
      <c r="D210" s="43" t="inlineStr">
        <is>
          <t>HS 3902.30</t>
        </is>
      </c>
      <c r="E210" s="43" t="inlineStr">
        <is>
          <t>IN</t>
        </is>
      </c>
      <c r="F210" s="44" t="inlineStr">
        <is>
          <t>인도</t>
        </is>
      </c>
      <c r="G210" s="43" t="inlineStr">
        <is>
          <t>BR</t>
        </is>
      </c>
      <c r="H210" s="44" t="inlineStr">
        <is>
          <t>브라질 (마나우스)</t>
        </is>
      </c>
      <c r="I210" s="44" t="inlineStr">
        <is>
          <t>마나우스항 (Porto de Manaus / Chibatao) (BRMAO)</t>
        </is>
      </c>
      <c r="J210" s="51" t="n">
        <v>0.126</v>
      </c>
      <c r="K210" s="51" t="n">
        <v>0.126</v>
      </c>
      <c r="L210" s="43" t="inlineStr">
        <is>
          <t>N</t>
        </is>
      </c>
      <c r="M210" s="45" t="inlineStr">
        <is>
          <t>-</t>
        </is>
      </c>
      <c r="N210" s="51" t="n">
        <v>0</v>
      </c>
      <c r="O210" s="52">
        <f>IF(L210="Y",K210,J210)+N210</f>
        <v/>
      </c>
      <c r="P210" s="44" t="inlineStr">
        <is>
          <t>마나우스항 통관: Mercosur TEC 12.6% (마나우스 ZFM 88% 감면 시 1.51%)</t>
        </is>
      </c>
    </row>
    <row r="211" ht="15" customHeight="1" s="32">
      <c r="A211" s="37" t="inlineStr">
        <is>
          <t>CPP</t>
        </is>
      </c>
      <c r="B211" s="37" t="inlineStr">
        <is>
          <t>Resin</t>
        </is>
      </c>
      <c r="C211" s="38" t="inlineStr">
        <is>
          <t>복합PP (Compound PP)</t>
        </is>
      </c>
      <c r="D211" s="37" t="inlineStr">
        <is>
          <t>HS 3902.30</t>
        </is>
      </c>
      <c r="E211" s="37" t="inlineStr">
        <is>
          <t>IN</t>
        </is>
      </c>
      <c r="F211" s="38" t="inlineStr">
        <is>
          <t>인도</t>
        </is>
      </c>
      <c r="G211" s="37" t="inlineStr">
        <is>
          <t>EG</t>
        </is>
      </c>
      <c r="H211" s="38" t="inlineStr">
        <is>
          <t>이집트 (카이로)</t>
        </is>
      </c>
      <c r="I211" s="38" t="inlineStr">
        <is>
          <t>아인소크나항 (Ain Sokhna) / 알렉산드리아항 (EGSOK / EGALY)</t>
        </is>
      </c>
      <c r="J211" s="49" t="n">
        <v>0.05</v>
      </c>
      <c r="K211" s="49" t="n">
        <v>0.05</v>
      </c>
      <c r="L211" s="37" t="inlineStr">
        <is>
          <t>N</t>
        </is>
      </c>
      <c r="M211" s="39" t="inlineStr">
        <is>
          <t>-</t>
        </is>
      </c>
      <c r="N211" s="49" t="n">
        <v>0</v>
      </c>
      <c r="O211" s="50">
        <f>IF(L211="Y",K211,J211)+N211</f>
        <v/>
      </c>
      <c r="P211" s="38" t="inlineStr">
        <is>
          <t>아인소크나항(EGSOK)-&gt;카이로: 이집트 합성수지(HS 3902/3903) MFN 기본관세 5.0% 적용</t>
        </is>
      </c>
    </row>
    <row r="212" ht="15" customHeight="1" s="32">
      <c r="A212" s="43" t="inlineStr">
        <is>
          <t>CPP</t>
        </is>
      </c>
      <c r="B212" s="43" t="inlineStr">
        <is>
          <t>Resin</t>
        </is>
      </c>
      <c r="C212" s="44" t="inlineStr">
        <is>
          <t>복합PP (Compound PP)</t>
        </is>
      </c>
      <c r="D212" s="43" t="inlineStr">
        <is>
          <t>HS 3902.30</t>
        </is>
      </c>
      <c r="E212" s="43" t="inlineStr">
        <is>
          <t>IN</t>
        </is>
      </c>
      <c r="F212" s="44" t="inlineStr">
        <is>
          <t>인도</t>
        </is>
      </c>
      <c r="G212" s="43" t="inlineStr">
        <is>
          <t>US</t>
        </is>
      </c>
      <c r="H212" s="44" t="inlineStr">
        <is>
          <t>미국 (클락스빌)</t>
        </is>
      </c>
      <c r="I212" s="44" t="inlineStr">
        <is>
          <t>서배너항 (Savannah) / 찰스턴항 + 철도Ramp (USSAV / USCHS)</t>
        </is>
      </c>
      <c r="J212" s="51" t="n">
        <v>0.065</v>
      </c>
      <c r="K212" s="51" t="n">
        <v>0.065</v>
      </c>
      <c r="L212" s="43" t="inlineStr">
        <is>
          <t>N</t>
        </is>
      </c>
      <c r="M212" s="45" t="inlineStr">
        <is>
          <t>-</t>
        </is>
      </c>
      <c r="N212" s="51" t="n">
        <v>0.1</v>
      </c>
      <c r="O212" s="52">
        <f>IF(L212="Y",K212,J212)+N212</f>
        <v/>
      </c>
      <c r="P212" s="44" t="inlineStr">
        <is>
          <t>서배너항-&gt;클락스빌: MFN 6.5% + 2026.7 미국 301조(인도산 +10.0%p) 합산 16.5%</t>
        </is>
      </c>
    </row>
    <row r="213" ht="15" customHeight="1" s="32">
      <c r="A213" s="37" t="inlineStr">
        <is>
          <t>CPP</t>
        </is>
      </c>
      <c r="B213" s="37" t="inlineStr">
        <is>
          <t>Resin</t>
        </is>
      </c>
      <c r="C213" s="38" t="inlineStr">
        <is>
          <t>복합PP (Compound PP)</t>
        </is>
      </c>
      <c r="D213" s="37" t="inlineStr">
        <is>
          <t>HS 3902.30</t>
        </is>
      </c>
      <c r="E213" s="37" t="inlineStr">
        <is>
          <t>IN</t>
        </is>
      </c>
      <c r="F213" s="38" t="inlineStr">
        <is>
          <t>인도</t>
        </is>
      </c>
      <c r="G213" s="37" t="inlineStr">
        <is>
          <t>NO</t>
        </is>
      </c>
      <c r="H213" s="38" t="inlineStr">
        <is>
          <t>노르웨이 (오슬로)</t>
        </is>
      </c>
      <c r="I213" s="38" t="inlineStr">
        <is>
          <t>오슬로항 (Port of Oslo) (NOOSL)</t>
        </is>
      </c>
      <c r="J213" s="49" t="n">
        <v>0</v>
      </c>
      <c r="K213" s="49" t="n">
        <v>0</v>
      </c>
      <c r="L213" s="37" t="inlineStr">
        <is>
          <t>N</t>
        </is>
      </c>
      <c r="M213" s="38" t="inlineStr">
        <is>
          <t>노르웨이 공산품 무관세 (한-EFTA 등)</t>
        </is>
      </c>
      <c r="N213" s="49" t="n">
        <v>0</v>
      </c>
      <c r="O213" s="50">
        <f>IF(L213="Y",K213,J213)+N213</f>
        <v/>
      </c>
      <c r="P213" s="38" t="inlineStr">
        <is>
          <t>오슬로항(NOOSL) 통관: 노르웨이 관세청(Tolltariffen) 철강·합성수지 전 품목 MFN 0% 무관세</t>
        </is>
      </c>
    </row>
    <row r="214" ht="15" customHeight="1" s="32">
      <c r="A214" s="43" t="inlineStr">
        <is>
          <t>CPP</t>
        </is>
      </c>
      <c r="B214" s="43" t="inlineStr">
        <is>
          <t>Resin</t>
        </is>
      </c>
      <c r="C214" s="44" t="inlineStr">
        <is>
          <t>복합PP (Compound PP)</t>
        </is>
      </c>
      <c r="D214" s="43" t="inlineStr">
        <is>
          <t>HS 3902.30</t>
        </is>
      </c>
      <c r="E214" s="43" t="inlineStr">
        <is>
          <t>US</t>
        </is>
      </c>
      <c r="F214" s="44" t="inlineStr">
        <is>
          <t>미국</t>
        </is>
      </c>
      <c r="G214" s="43" t="inlineStr">
        <is>
          <t>KR</t>
        </is>
      </c>
      <c r="H214" s="44" t="inlineStr">
        <is>
          <t>한국 (부산)</t>
        </is>
      </c>
      <c r="I214" s="44" t="inlineStr">
        <is>
          <t>부산항 (Port of Busan) (KRPUS)</t>
        </is>
      </c>
      <c r="J214" s="51" t="n">
        <v>0.065</v>
      </c>
      <c r="K214" s="51" t="n">
        <v>0</v>
      </c>
      <c r="L214" s="43" t="inlineStr">
        <is>
          <t>Y</t>
        </is>
      </c>
      <c r="M214" s="44" t="inlineStr">
        <is>
          <t>한-미 FTA (KORUS)</t>
        </is>
      </c>
      <c r="N214" s="51" t="n">
        <v>0</v>
      </c>
      <c r="O214" s="52">
        <f>IF(L214="Y",K214,J214)+N214</f>
        <v/>
      </c>
      <c r="P214" s="44" t="inlineStr">
        <is>
          <t>부산항 통관: KORUS 협정세율 0% 적용</t>
        </is>
      </c>
    </row>
    <row r="215" ht="15" customHeight="1" s="32">
      <c r="A215" s="37" t="inlineStr">
        <is>
          <t>CPP</t>
        </is>
      </c>
      <c r="B215" s="37" t="inlineStr">
        <is>
          <t>Resin</t>
        </is>
      </c>
      <c r="C215" s="38" t="inlineStr">
        <is>
          <t>복합PP (Compound PP)</t>
        </is>
      </c>
      <c r="D215" s="37" t="inlineStr">
        <is>
          <t>HS 3902.30</t>
        </is>
      </c>
      <c r="E215" s="37" t="inlineStr">
        <is>
          <t>US</t>
        </is>
      </c>
      <c r="F215" s="38" t="inlineStr">
        <is>
          <t>미국</t>
        </is>
      </c>
      <c r="G215" s="37" t="inlineStr">
        <is>
          <t>CN</t>
        </is>
      </c>
      <c r="H215" s="38" t="inlineStr">
        <is>
          <t>중국 (천진)</t>
        </is>
      </c>
      <c r="I215" s="38" t="inlineStr">
        <is>
          <t>천진 신강항 (Tianjin Xingang) (CNTSN)</t>
        </is>
      </c>
      <c r="J215" s="49" t="n">
        <v>0.065</v>
      </c>
      <c r="K215" s="49" t="n">
        <v>0.065</v>
      </c>
      <c r="L215" s="37" t="inlineStr">
        <is>
          <t>N</t>
        </is>
      </c>
      <c r="M215" s="39" t="inlineStr">
        <is>
          <t>-</t>
        </is>
      </c>
      <c r="N215" s="49" t="n">
        <v>0.25</v>
      </c>
      <c r="O215" s="50">
        <f>IF(L215="Y",K215,J215)+N215</f>
        <v/>
      </c>
      <c r="P215" s="38" t="inlineStr">
        <is>
          <t>천진 신강항 통관: 미·중 통상분쟁 보복관세 반영</t>
        </is>
      </c>
    </row>
    <row r="216" ht="15" customHeight="1" s="32">
      <c r="A216" s="43" t="inlineStr">
        <is>
          <t>CPP</t>
        </is>
      </c>
      <c r="B216" s="43" t="inlineStr">
        <is>
          <t>Resin</t>
        </is>
      </c>
      <c r="C216" s="44" t="inlineStr">
        <is>
          <t>복합PP (Compound PP)</t>
        </is>
      </c>
      <c r="D216" s="43" t="inlineStr">
        <is>
          <t>HS 3902.30</t>
        </is>
      </c>
      <c r="E216" s="43" t="inlineStr">
        <is>
          <t>US</t>
        </is>
      </c>
      <c r="F216" s="44" t="inlineStr">
        <is>
          <t>미국</t>
        </is>
      </c>
      <c r="G216" s="43" t="inlineStr">
        <is>
          <t>IN_NOI</t>
        </is>
      </c>
      <c r="H216" s="44" t="inlineStr">
        <is>
          <t>인도 (노이다)</t>
        </is>
      </c>
      <c r="I216" s="44" t="inlineStr">
        <is>
          <t>문드라항 (Mundra) + ICD 다드리 (INMUN-&gt;INDAD)</t>
        </is>
      </c>
      <c r="J216" s="51" t="n">
        <v>0.0825</v>
      </c>
      <c r="K216" s="51" t="n">
        <v>0.0825</v>
      </c>
      <c r="L216" s="43" t="inlineStr">
        <is>
          <t>N</t>
        </is>
      </c>
      <c r="M216" s="45" t="inlineStr">
        <is>
          <t>-</t>
        </is>
      </c>
      <c r="N216" s="51" t="n">
        <v>0</v>
      </c>
      <c r="O216" s="52">
        <f>IF(L216="Y",K216,J216)+N216</f>
        <v/>
      </c>
      <c r="P216" s="45" t="inlineStr">
        <is>
          <t>WTO/WITS 일반 MFN 세율 적용</t>
        </is>
      </c>
    </row>
    <row r="217" ht="15" customHeight="1" s="32">
      <c r="A217" s="37" t="inlineStr">
        <is>
          <t>CPP</t>
        </is>
      </c>
      <c r="B217" s="37" t="inlineStr">
        <is>
          <t>Resin</t>
        </is>
      </c>
      <c r="C217" s="38" t="inlineStr">
        <is>
          <t>복합PP (Compound PP)</t>
        </is>
      </c>
      <c r="D217" s="37" t="inlineStr">
        <is>
          <t>HS 3902.30</t>
        </is>
      </c>
      <c r="E217" s="37" t="inlineStr">
        <is>
          <t>US</t>
        </is>
      </c>
      <c r="F217" s="38" t="inlineStr">
        <is>
          <t>미국</t>
        </is>
      </c>
      <c r="G217" s="37" t="inlineStr">
        <is>
          <t>IN_PUN</t>
        </is>
      </c>
      <c r="H217" s="38" t="inlineStr">
        <is>
          <t>인도 (푸네)</t>
        </is>
      </c>
      <c r="I217" s="38" t="inlineStr">
        <is>
          <t>나바셰바항 (JNPT Mumbai) (INNSA)</t>
        </is>
      </c>
      <c r="J217" s="49" t="n">
        <v>0.0825</v>
      </c>
      <c r="K217" s="49" t="n">
        <v>0.0825</v>
      </c>
      <c r="L217" s="37" t="inlineStr">
        <is>
          <t>N</t>
        </is>
      </c>
      <c r="M217" s="39" t="inlineStr">
        <is>
          <t>-</t>
        </is>
      </c>
      <c r="N217" s="49" t="n">
        <v>0</v>
      </c>
      <c r="O217" s="50">
        <f>IF(L217="Y",K217,J217)+N217</f>
        <v/>
      </c>
      <c r="P217" s="39" t="inlineStr">
        <is>
          <t>WTO/WITS 일반 MFN 세율 적용</t>
        </is>
      </c>
    </row>
    <row r="218" ht="15" customHeight="1" s="32">
      <c r="A218" s="43" t="inlineStr">
        <is>
          <t>CPP</t>
        </is>
      </c>
      <c r="B218" s="43" t="inlineStr">
        <is>
          <t>Resin</t>
        </is>
      </c>
      <c r="C218" s="44" t="inlineStr">
        <is>
          <t>복합PP (Compound PP)</t>
        </is>
      </c>
      <c r="D218" s="43" t="inlineStr">
        <is>
          <t>HS 3902.30</t>
        </is>
      </c>
      <c r="E218" s="43" t="inlineStr">
        <is>
          <t>US</t>
        </is>
      </c>
      <c r="F218" s="44" t="inlineStr">
        <is>
          <t>미국</t>
        </is>
      </c>
      <c r="G218" s="43" t="inlineStr">
        <is>
          <t>TH</t>
        </is>
      </c>
      <c r="H218" s="44" t="inlineStr">
        <is>
          <t>태국 (람차방)</t>
        </is>
      </c>
      <c r="I218" s="44" t="inlineStr">
        <is>
          <t>람차방항 (Laem Chabang) (THLCH)</t>
        </is>
      </c>
      <c r="J218" s="51" t="n">
        <v>0.05</v>
      </c>
      <c r="K218" s="51" t="n">
        <v>0.05</v>
      </c>
      <c r="L218" s="43" t="inlineStr">
        <is>
          <t>N</t>
        </is>
      </c>
      <c r="M218" s="45" t="inlineStr">
        <is>
          <t>-</t>
        </is>
      </c>
      <c r="N218" s="51" t="n">
        <v>0</v>
      </c>
      <c r="O218" s="52">
        <f>IF(L218="Y",K218,J218)+N218</f>
        <v/>
      </c>
      <c r="P218" s="45" t="inlineStr">
        <is>
          <t>WTO/WITS 일반 MFN 세율 적용</t>
        </is>
      </c>
    </row>
    <row r="219" ht="15" customHeight="1" s="32">
      <c r="A219" s="37" t="inlineStr">
        <is>
          <t>CPP</t>
        </is>
      </c>
      <c r="B219" s="37" t="inlineStr">
        <is>
          <t>Resin</t>
        </is>
      </c>
      <c r="C219" s="38" t="inlineStr">
        <is>
          <t>복합PP (Compound PP)</t>
        </is>
      </c>
      <c r="D219" s="37" t="inlineStr">
        <is>
          <t>HS 3902.30</t>
        </is>
      </c>
      <c r="E219" s="37" t="inlineStr">
        <is>
          <t>US</t>
        </is>
      </c>
      <c r="F219" s="38" t="inlineStr">
        <is>
          <t>미국</t>
        </is>
      </c>
      <c r="G219" s="37" t="inlineStr">
        <is>
          <t>ID</t>
        </is>
      </c>
      <c r="H219" s="38" t="inlineStr">
        <is>
          <t>인니 (자카르타)</t>
        </is>
      </c>
      <c r="I219" s="38" t="inlineStr">
        <is>
          <t>탄중프리옥항 (Tanjung Priok) (IDJKT)</t>
        </is>
      </c>
      <c r="J219" s="49" t="n">
        <v>0.1</v>
      </c>
      <c r="K219" s="49" t="n">
        <v>0.1</v>
      </c>
      <c r="L219" s="37" t="inlineStr">
        <is>
          <t>N</t>
        </is>
      </c>
      <c r="M219" s="39" t="inlineStr">
        <is>
          <t>-</t>
        </is>
      </c>
      <c r="N219" s="49" t="n">
        <v>0</v>
      </c>
      <c r="O219" s="50">
        <f>IF(L219="Y",K219,J219)+N219</f>
        <v/>
      </c>
      <c r="P219" s="39" t="inlineStr">
        <is>
          <t>WTO/WITS 일반 MFN 세율 적용</t>
        </is>
      </c>
    </row>
    <row r="220" ht="15" customHeight="1" s="32">
      <c r="A220" s="43" t="inlineStr">
        <is>
          <t>CPP</t>
        </is>
      </c>
      <c r="B220" s="43" t="inlineStr">
        <is>
          <t>Resin</t>
        </is>
      </c>
      <c r="C220" s="44" t="inlineStr">
        <is>
          <t>복합PP (Compound PP)</t>
        </is>
      </c>
      <c r="D220" s="43" t="inlineStr">
        <is>
          <t>HS 3902.30</t>
        </is>
      </c>
      <c r="E220" s="43" t="inlineStr">
        <is>
          <t>US</t>
        </is>
      </c>
      <c r="F220" s="44" t="inlineStr">
        <is>
          <t>미국</t>
        </is>
      </c>
      <c r="G220" s="43" t="inlineStr">
        <is>
          <t>SA</t>
        </is>
      </c>
      <c r="H220" s="44" t="inlineStr">
        <is>
          <t>사우디 (제다)</t>
        </is>
      </c>
      <c r="I220" s="44" t="inlineStr">
        <is>
          <t>제다 이슬람항 (Jeddah Islamic Port) (SAJED)</t>
        </is>
      </c>
      <c r="J220" s="51" t="n">
        <v>0.05</v>
      </c>
      <c r="K220" s="51" t="n">
        <v>0.05</v>
      </c>
      <c r="L220" s="43" t="inlineStr">
        <is>
          <t>N</t>
        </is>
      </c>
      <c r="M220" s="45" t="inlineStr">
        <is>
          <t>-</t>
        </is>
      </c>
      <c r="N220" s="51" t="n">
        <v>0</v>
      </c>
      <c r="O220" s="52">
        <f>IF(L220="Y",K220,J220)+N220</f>
        <v/>
      </c>
      <c r="P220" s="44" t="inlineStr">
        <is>
          <t>제다 이슬람항 통관: GCC 공동관세율(CET) 기본 5.0% 적용</t>
        </is>
      </c>
    </row>
    <row r="221" ht="15" customHeight="1" s="32">
      <c r="A221" s="37" t="inlineStr">
        <is>
          <t>CPP</t>
        </is>
      </c>
      <c r="B221" s="37" t="inlineStr">
        <is>
          <t>Resin</t>
        </is>
      </c>
      <c r="C221" s="38" t="inlineStr">
        <is>
          <t>복합PP (Compound PP)</t>
        </is>
      </c>
      <c r="D221" s="37" t="inlineStr">
        <is>
          <t>HS 3902.30</t>
        </is>
      </c>
      <c r="E221" s="37" t="inlineStr">
        <is>
          <t>US</t>
        </is>
      </c>
      <c r="F221" s="38" t="inlineStr">
        <is>
          <t>미국</t>
        </is>
      </c>
      <c r="G221" s="37" t="inlineStr">
        <is>
          <t>BR</t>
        </is>
      </c>
      <c r="H221" s="38" t="inlineStr">
        <is>
          <t>브라질 (마나우스)</t>
        </is>
      </c>
      <c r="I221" s="38" t="inlineStr">
        <is>
          <t>마나우스항 (Porto de Manaus / Chibatao) (BRMAO)</t>
        </is>
      </c>
      <c r="J221" s="49" t="n">
        <v>0.126</v>
      </c>
      <c r="K221" s="49" t="n">
        <v>0.126</v>
      </c>
      <c r="L221" s="37" t="inlineStr">
        <is>
          <t>N</t>
        </is>
      </c>
      <c r="M221" s="39" t="inlineStr">
        <is>
          <t>-</t>
        </is>
      </c>
      <c r="N221" s="49" t="n">
        <v>0</v>
      </c>
      <c r="O221" s="50">
        <f>IF(L221="Y",K221,J221)+N221</f>
        <v/>
      </c>
      <c r="P221" s="38" t="inlineStr">
        <is>
          <t>마나우스항 통관: Mercosur TEC 12.6% (마나우스 ZFM 88% 감면 시 1.51%)</t>
        </is>
      </c>
    </row>
    <row r="222" ht="15" customHeight="1" s="32">
      <c r="A222" s="43" t="inlineStr">
        <is>
          <t>CPP</t>
        </is>
      </c>
      <c r="B222" s="43" t="inlineStr">
        <is>
          <t>Resin</t>
        </is>
      </c>
      <c r="C222" s="44" t="inlineStr">
        <is>
          <t>복합PP (Compound PP)</t>
        </is>
      </c>
      <c r="D222" s="43" t="inlineStr">
        <is>
          <t>HS 3902.30</t>
        </is>
      </c>
      <c r="E222" s="43" t="inlineStr">
        <is>
          <t>US</t>
        </is>
      </c>
      <c r="F222" s="44" t="inlineStr">
        <is>
          <t>미국</t>
        </is>
      </c>
      <c r="G222" s="43" t="inlineStr">
        <is>
          <t>EG</t>
        </is>
      </c>
      <c r="H222" s="44" t="inlineStr">
        <is>
          <t>이집트 (카이로)</t>
        </is>
      </c>
      <c r="I222" s="44" t="inlineStr">
        <is>
          <t>아인소크나항 (Ain Sokhna) / 알렉산드리아항 (EGSOK / EGALY)</t>
        </is>
      </c>
      <c r="J222" s="51" t="n">
        <v>0.05</v>
      </c>
      <c r="K222" s="51" t="n">
        <v>0.05</v>
      </c>
      <c r="L222" s="43" t="inlineStr">
        <is>
          <t>N</t>
        </is>
      </c>
      <c r="M222" s="45" t="inlineStr">
        <is>
          <t>-</t>
        </is>
      </c>
      <c r="N222" s="51" t="n">
        <v>0</v>
      </c>
      <c r="O222" s="52">
        <f>IF(L222="Y",K222,J222)+N222</f>
        <v/>
      </c>
      <c r="P222" s="44" t="inlineStr">
        <is>
          <t>알렉산드리아항(EGALY)-&gt;카이로: 이집트 합성수지(HS 3902/3903) MFN 기본관세 5.0% 적용</t>
        </is>
      </c>
    </row>
    <row r="223" ht="15" customHeight="1" s="32">
      <c r="A223" s="37" t="inlineStr">
        <is>
          <t>CPP</t>
        </is>
      </c>
      <c r="B223" s="37" t="inlineStr">
        <is>
          <t>Resin</t>
        </is>
      </c>
      <c r="C223" s="38" t="inlineStr">
        <is>
          <t>복합PP (Compound PP)</t>
        </is>
      </c>
      <c r="D223" s="37" t="inlineStr">
        <is>
          <t>HS 3902.30</t>
        </is>
      </c>
      <c r="E223" s="37" t="inlineStr">
        <is>
          <t>US</t>
        </is>
      </c>
      <c r="F223" s="38" t="inlineStr">
        <is>
          <t>미국</t>
        </is>
      </c>
      <c r="G223" s="37" t="inlineStr">
        <is>
          <t>US</t>
        </is>
      </c>
      <c r="H223" s="38" t="inlineStr">
        <is>
          <t>미국 (클락스빌)</t>
        </is>
      </c>
      <c r="I223" s="38" t="inlineStr">
        <is>
          <t>서배너항 (Savannah) / 찰스턴항 + 철도Ramp (USSAV / USCHS)</t>
        </is>
      </c>
      <c r="J223" s="49" t="n">
        <v>0</v>
      </c>
      <c r="K223" s="49" t="n">
        <v>0</v>
      </c>
      <c r="L223" s="37" t="inlineStr">
        <is>
          <t>N</t>
        </is>
      </c>
      <c r="M223" s="38" t="inlineStr">
        <is>
          <t>내수 조달 (관세 없음)</t>
        </is>
      </c>
      <c r="N223" s="49" t="n">
        <v>0</v>
      </c>
      <c r="O223" s="50">
        <f>IF(L223="Y",K223,J223)+N223</f>
        <v/>
      </c>
      <c r="P223" s="38" t="inlineStr">
        <is>
          <t>동일 국가 내 조달 (클락스빌 (Clarksville, TN) 직송, 수입관세 면제)</t>
        </is>
      </c>
    </row>
    <row r="224" ht="15" customHeight="1" s="32">
      <c r="A224" s="43" t="inlineStr">
        <is>
          <t>CPP</t>
        </is>
      </c>
      <c r="B224" s="43" t="inlineStr">
        <is>
          <t>Resin</t>
        </is>
      </c>
      <c r="C224" s="44" t="inlineStr">
        <is>
          <t>복합PP (Compound PP)</t>
        </is>
      </c>
      <c r="D224" s="43" t="inlineStr">
        <is>
          <t>HS 3902.30</t>
        </is>
      </c>
      <c r="E224" s="43" t="inlineStr">
        <is>
          <t>US</t>
        </is>
      </c>
      <c r="F224" s="44" t="inlineStr">
        <is>
          <t>미국</t>
        </is>
      </c>
      <c r="G224" s="43" t="inlineStr">
        <is>
          <t>NO</t>
        </is>
      </c>
      <c r="H224" s="44" t="inlineStr">
        <is>
          <t>노르웨이 (오슬로)</t>
        </is>
      </c>
      <c r="I224" s="44" t="inlineStr">
        <is>
          <t>오슬로항 (Port of Oslo) (NOOSL)</t>
        </is>
      </c>
      <c r="J224" s="51" t="n">
        <v>0</v>
      </c>
      <c r="K224" s="51" t="n">
        <v>0</v>
      </c>
      <c r="L224" s="43" t="inlineStr">
        <is>
          <t>N</t>
        </is>
      </c>
      <c r="M224" s="44" t="inlineStr">
        <is>
          <t>노르웨이 공산품 무관세 (한-EFTA 등)</t>
        </is>
      </c>
      <c r="N224" s="51" t="n">
        <v>0</v>
      </c>
      <c r="O224" s="52">
        <f>IF(L224="Y",K224,J224)+N224</f>
        <v/>
      </c>
      <c r="P224" s="44" t="inlineStr">
        <is>
          <t>오슬로항(NOOSL) 통관: 노르웨이 관세청(Tolltariffen) 철강·합성수지 전 품목 MFN 0% 무관세</t>
        </is>
      </c>
    </row>
    <row r="225" ht="15" customHeight="1" s="32">
      <c r="A225" s="37" t="inlineStr">
        <is>
          <t>HIPS</t>
        </is>
      </c>
      <c r="B225" s="37" t="inlineStr">
        <is>
          <t>Resin</t>
        </is>
      </c>
      <c r="C225" s="39" t="inlineStr">
        <is>
          <t>HIPS (내충격성 폴리스티렌)</t>
        </is>
      </c>
      <c r="D225" s="37" t="inlineStr">
        <is>
          <t>HS 3903.19</t>
        </is>
      </c>
      <c r="E225" s="37" t="inlineStr">
        <is>
          <t>KR</t>
        </is>
      </c>
      <c r="F225" s="38" t="inlineStr">
        <is>
          <t>한국</t>
        </is>
      </c>
      <c r="G225" s="37" t="inlineStr">
        <is>
          <t>KR</t>
        </is>
      </c>
      <c r="H225" s="38" t="inlineStr">
        <is>
          <t>한국 (부산)</t>
        </is>
      </c>
      <c r="I225" s="38" t="inlineStr">
        <is>
          <t>부산항 (Port of Busan) (KRPUS)</t>
        </is>
      </c>
      <c r="J225" s="49" t="n">
        <v>0</v>
      </c>
      <c r="K225" s="49" t="n">
        <v>0</v>
      </c>
      <c r="L225" s="37" t="inlineStr">
        <is>
          <t>N</t>
        </is>
      </c>
      <c r="M225" s="38" t="inlineStr">
        <is>
          <t>내수 조달 (관세 없음)</t>
        </is>
      </c>
      <c r="N225" s="49" t="n">
        <v>0</v>
      </c>
      <c r="O225" s="50">
        <f>IF(L225="Y",K225,J225)+N225</f>
        <v/>
      </c>
      <c r="P225" s="38" t="inlineStr">
        <is>
          <t>동일 국가 내 조달 (부산 (Busan) 직송, 수입관세 면제)</t>
        </is>
      </c>
    </row>
    <row r="226" ht="15" customHeight="1" s="32">
      <c r="A226" s="43" t="inlineStr">
        <is>
          <t>HIPS</t>
        </is>
      </c>
      <c r="B226" s="43" t="inlineStr">
        <is>
          <t>Resin</t>
        </is>
      </c>
      <c r="C226" s="45" t="inlineStr">
        <is>
          <t>HIPS (내충격성 폴리스티렌)</t>
        </is>
      </c>
      <c r="D226" s="43" t="inlineStr">
        <is>
          <t>HS 3903.19</t>
        </is>
      </c>
      <c r="E226" s="43" t="inlineStr">
        <is>
          <t>KR</t>
        </is>
      </c>
      <c r="F226" s="44" t="inlineStr">
        <is>
          <t>한국</t>
        </is>
      </c>
      <c r="G226" s="43" t="inlineStr">
        <is>
          <t>CN</t>
        </is>
      </c>
      <c r="H226" s="44" t="inlineStr">
        <is>
          <t>중국 (천진)</t>
        </is>
      </c>
      <c r="I226" s="44" t="inlineStr">
        <is>
          <t>천진 신강항 (Tianjin Xingang) (CNTSN)</t>
        </is>
      </c>
      <c r="J226" s="51" t="n">
        <v>0.065</v>
      </c>
      <c r="K226" s="51" t="n">
        <v>0</v>
      </c>
      <c r="L226" s="43" t="inlineStr">
        <is>
          <t>Y</t>
        </is>
      </c>
      <c r="M226" s="44" t="inlineStr">
        <is>
          <t>한-중 FTA / RCEP</t>
        </is>
      </c>
      <c r="N226" s="51" t="n">
        <v>0</v>
      </c>
      <c r="O226" s="52">
        <f>IF(L226="Y",K226,J226)+N226</f>
        <v/>
      </c>
      <c r="P226" s="44" t="inlineStr">
        <is>
          <t>천진 신강항 통관: 한-중 FTA/RCEP 양허세율</t>
        </is>
      </c>
    </row>
    <row r="227" ht="15" customHeight="1" s="32">
      <c r="A227" s="37" t="inlineStr">
        <is>
          <t>HIPS</t>
        </is>
      </c>
      <c r="B227" s="37" t="inlineStr">
        <is>
          <t>Resin</t>
        </is>
      </c>
      <c r="C227" s="39" t="inlineStr">
        <is>
          <t>HIPS (내충격성 폴리스티렌)</t>
        </is>
      </c>
      <c r="D227" s="37" t="inlineStr">
        <is>
          <t>HS 3903.19</t>
        </is>
      </c>
      <c r="E227" s="37" t="inlineStr">
        <is>
          <t>KR</t>
        </is>
      </c>
      <c r="F227" s="38" t="inlineStr">
        <is>
          <t>한국</t>
        </is>
      </c>
      <c r="G227" s="37" t="inlineStr">
        <is>
          <t>IN_NOI</t>
        </is>
      </c>
      <c r="H227" s="38" t="inlineStr">
        <is>
          <t>인도 (노이다)</t>
        </is>
      </c>
      <c r="I227" s="38" t="inlineStr">
        <is>
          <t>문드라항 (Mundra) + ICD 다드리 (INMUN-&gt;INDAD)</t>
        </is>
      </c>
      <c r="J227" s="49" t="n">
        <v>0.0825</v>
      </c>
      <c r="K227" s="49" t="n">
        <v>0.025</v>
      </c>
      <c r="L227" s="37" t="inlineStr">
        <is>
          <t>Y</t>
        </is>
      </c>
      <c r="M227" s="38" t="inlineStr">
        <is>
          <t>한-인도 CEPA</t>
        </is>
      </c>
      <c r="N227" s="49" t="n">
        <v>0</v>
      </c>
      <c r="O227" s="50">
        <f>IF(L227="Y",K227,J227)+N227</f>
        <v/>
      </c>
      <c r="P227" s="38" t="inlineStr">
        <is>
          <t>문드라항-&gt;ICD 다드리(노이다) 통관: 한-인도 CEPA 합성수지 양허세율 적용</t>
        </is>
      </c>
    </row>
    <row r="228" ht="15" customHeight="1" s="32">
      <c r="A228" s="43" t="inlineStr">
        <is>
          <t>HIPS</t>
        </is>
      </c>
      <c r="B228" s="43" t="inlineStr">
        <is>
          <t>Resin</t>
        </is>
      </c>
      <c r="C228" s="45" t="inlineStr">
        <is>
          <t>HIPS (내충격성 폴리스티렌)</t>
        </is>
      </c>
      <c r="D228" s="43" t="inlineStr">
        <is>
          <t>HS 3903.19</t>
        </is>
      </c>
      <c r="E228" s="43" t="inlineStr">
        <is>
          <t>KR</t>
        </is>
      </c>
      <c r="F228" s="44" t="inlineStr">
        <is>
          <t>한국</t>
        </is>
      </c>
      <c r="G228" s="43" t="inlineStr">
        <is>
          <t>IN_PUN</t>
        </is>
      </c>
      <c r="H228" s="44" t="inlineStr">
        <is>
          <t>인도 (푸네)</t>
        </is>
      </c>
      <c r="I228" s="44" t="inlineStr">
        <is>
          <t>나바셰바항 (JNPT Mumbai) (INNSA)</t>
        </is>
      </c>
      <c r="J228" s="51" t="n">
        <v>0.0825</v>
      </c>
      <c r="K228" s="51" t="n">
        <v>0.025</v>
      </c>
      <c r="L228" s="43" t="inlineStr">
        <is>
          <t>Y</t>
        </is>
      </c>
      <c r="M228" s="44" t="inlineStr">
        <is>
          <t>한-인도 CEPA</t>
        </is>
      </c>
      <c r="N228" s="51" t="n">
        <v>0</v>
      </c>
      <c r="O228" s="52">
        <f>IF(L228="Y",K228,J228)+N228</f>
        <v/>
      </c>
      <c r="P228" s="44" t="inlineStr">
        <is>
          <t>나바셰바항(푸네) 통관: 한-인도 CEPA 합성수지 양허세율 적용</t>
        </is>
      </c>
    </row>
    <row r="229" ht="15" customHeight="1" s="32">
      <c r="A229" s="37" t="inlineStr">
        <is>
          <t>HIPS</t>
        </is>
      </c>
      <c r="B229" s="37" t="inlineStr">
        <is>
          <t>Resin</t>
        </is>
      </c>
      <c r="C229" s="39" t="inlineStr">
        <is>
          <t>HIPS (내충격성 폴리스티렌)</t>
        </is>
      </c>
      <c r="D229" s="37" t="inlineStr">
        <is>
          <t>HS 3903.19</t>
        </is>
      </c>
      <c r="E229" s="37" t="inlineStr">
        <is>
          <t>KR</t>
        </is>
      </c>
      <c r="F229" s="38" t="inlineStr">
        <is>
          <t>한국</t>
        </is>
      </c>
      <c r="G229" s="37" t="inlineStr">
        <is>
          <t>TH</t>
        </is>
      </c>
      <c r="H229" s="38" t="inlineStr">
        <is>
          <t>태국 (람차방)</t>
        </is>
      </c>
      <c r="I229" s="38" t="inlineStr">
        <is>
          <t>람차방항 (Laem Chabang) (THLCH)</t>
        </is>
      </c>
      <c r="J229" s="49" t="n">
        <v>0.05</v>
      </c>
      <c r="K229" s="49" t="n">
        <v>0</v>
      </c>
      <c r="L229" s="37" t="inlineStr">
        <is>
          <t>Y</t>
        </is>
      </c>
      <c r="M229" s="39" t="inlineStr">
        <is>
          <t>ASEAN FTA / RCEP</t>
        </is>
      </c>
      <c r="N229" s="49" t="n">
        <v>0</v>
      </c>
      <c r="O229" s="50">
        <f>IF(L229="Y",K229,J229)+N229</f>
        <v/>
      </c>
      <c r="P229" s="38" t="inlineStr">
        <is>
          <t>람차방항 통관: 아세안 역외 FTA 합성수지 0% 양허</t>
        </is>
      </c>
    </row>
    <row r="230" ht="15" customHeight="1" s="32">
      <c r="A230" s="43" t="inlineStr">
        <is>
          <t>HIPS</t>
        </is>
      </c>
      <c r="B230" s="43" t="inlineStr">
        <is>
          <t>Resin</t>
        </is>
      </c>
      <c r="C230" s="45" t="inlineStr">
        <is>
          <t>HIPS (내충격성 폴리스티렌)</t>
        </is>
      </c>
      <c r="D230" s="43" t="inlineStr">
        <is>
          <t>HS 3903.19</t>
        </is>
      </c>
      <c r="E230" s="43" t="inlineStr">
        <is>
          <t>KR</t>
        </is>
      </c>
      <c r="F230" s="44" t="inlineStr">
        <is>
          <t>한국</t>
        </is>
      </c>
      <c r="G230" s="43" t="inlineStr">
        <is>
          <t>ID</t>
        </is>
      </c>
      <c r="H230" s="44" t="inlineStr">
        <is>
          <t>인니 (자카르타)</t>
        </is>
      </c>
      <c r="I230" s="44" t="inlineStr">
        <is>
          <t>탄중프리옥항 (Tanjung Priok) (IDJKT)</t>
        </is>
      </c>
      <c r="J230" s="51" t="n">
        <v>0.1</v>
      </c>
      <c r="K230" s="51" t="n">
        <v>0</v>
      </c>
      <c r="L230" s="43" t="inlineStr">
        <is>
          <t>Y</t>
        </is>
      </c>
      <c r="M230" s="44" t="inlineStr">
        <is>
          <t>한-인니 CEPA / AKFTA</t>
        </is>
      </c>
      <c r="N230" s="51" t="n">
        <v>0</v>
      </c>
      <c r="O230" s="52">
        <f>IF(L230="Y",K230,J230)+N230</f>
        <v/>
      </c>
      <c r="P230" s="44" t="inlineStr">
        <is>
          <t>탄중프리옥항 통관: IK-CEPA 및 한-아세안 FTA 0%</t>
        </is>
      </c>
    </row>
    <row r="231" ht="15" customHeight="1" s="32">
      <c r="A231" s="37" t="inlineStr">
        <is>
          <t>HIPS</t>
        </is>
      </c>
      <c r="B231" s="37" t="inlineStr">
        <is>
          <t>Resin</t>
        </is>
      </c>
      <c r="C231" s="39" t="inlineStr">
        <is>
          <t>HIPS (내충격성 폴리스티렌)</t>
        </is>
      </c>
      <c r="D231" s="37" t="inlineStr">
        <is>
          <t>HS 3903.19</t>
        </is>
      </c>
      <c r="E231" s="37" t="inlineStr">
        <is>
          <t>KR</t>
        </is>
      </c>
      <c r="F231" s="38" t="inlineStr">
        <is>
          <t>한국</t>
        </is>
      </c>
      <c r="G231" s="37" t="inlineStr">
        <is>
          <t>SA</t>
        </is>
      </c>
      <c r="H231" s="38" t="inlineStr">
        <is>
          <t>사우디 (제다)</t>
        </is>
      </c>
      <c r="I231" s="38" t="inlineStr">
        <is>
          <t>제다 이슬람항 (Jeddah Islamic Port) (SAJED)</t>
        </is>
      </c>
      <c r="J231" s="49" t="n">
        <v>0.05</v>
      </c>
      <c r="K231" s="49" t="n">
        <v>0</v>
      </c>
      <c r="L231" s="37" t="inlineStr">
        <is>
          <t>Y</t>
        </is>
      </c>
      <c r="M231" s="38" t="inlineStr">
        <is>
          <t>한-GCC FTA</t>
        </is>
      </c>
      <c r="N231" s="49" t="n">
        <v>0</v>
      </c>
      <c r="O231" s="50">
        <f>IF(L231="Y",K231,J231)+N231</f>
        <v/>
      </c>
      <c r="P231" s="38" t="inlineStr">
        <is>
          <t>제다 이슬람항 통관: 한-GCC FTA 합성수지 양허 혜택</t>
        </is>
      </c>
    </row>
    <row r="232" ht="15" customHeight="1" s="32">
      <c r="A232" s="43" t="inlineStr">
        <is>
          <t>HIPS</t>
        </is>
      </c>
      <c r="B232" s="43" t="inlineStr">
        <is>
          <t>Resin</t>
        </is>
      </c>
      <c r="C232" s="45" t="inlineStr">
        <is>
          <t>HIPS (내충격성 폴리스티렌)</t>
        </is>
      </c>
      <c r="D232" s="43" t="inlineStr">
        <is>
          <t>HS 3903.19</t>
        </is>
      </c>
      <c r="E232" s="43" t="inlineStr">
        <is>
          <t>KR</t>
        </is>
      </c>
      <c r="F232" s="44" t="inlineStr">
        <is>
          <t>한국</t>
        </is>
      </c>
      <c r="G232" s="43" t="inlineStr">
        <is>
          <t>BR</t>
        </is>
      </c>
      <c r="H232" s="44" t="inlineStr">
        <is>
          <t>브라질 (마나우스)</t>
        </is>
      </c>
      <c r="I232" s="44" t="inlineStr">
        <is>
          <t>마나우스항 (Porto de Manaus / Chibatao) (BRMAO)</t>
        </is>
      </c>
      <c r="J232" s="51" t="n">
        <v>0.126</v>
      </c>
      <c r="K232" s="51" t="n">
        <v>0.126</v>
      </c>
      <c r="L232" s="43" t="inlineStr">
        <is>
          <t>N</t>
        </is>
      </c>
      <c r="M232" s="45" t="inlineStr">
        <is>
          <t>-</t>
        </is>
      </c>
      <c r="N232" s="51" t="n">
        <v>0</v>
      </c>
      <c r="O232" s="52">
        <f>IF(L232="Y",K232,J232)+N232</f>
        <v/>
      </c>
      <c r="P232" s="44" t="inlineStr">
        <is>
          <t>마나우스항 통관: Mercosur TEC 12.6% (마나우스 ZFM 88% 감면 시 1.51%)</t>
        </is>
      </c>
    </row>
    <row r="233" ht="15" customHeight="1" s="32">
      <c r="A233" s="37" t="inlineStr">
        <is>
          <t>HIPS</t>
        </is>
      </c>
      <c r="B233" s="37" t="inlineStr">
        <is>
          <t>Resin</t>
        </is>
      </c>
      <c r="C233" s="39" t="inlineStr">
        <is>
          <t>HIPS (내충격성 폴리스티렌)</t>
        </is>
      </c>
      <c r="D233" s="37" t="inlineStr">
        <is>
          <t>HS 3903.19</t>
        </is>
      </c>
      <c r="E233" s="37" t="inlineStr">
        <is>
          <t>KR</t>
        </is>
      </c>
      <c r="F233" s="38" t="inlineStr">
        <is>
          <t>한국</t>
        </is>
      </c>
      <c r="G233" s="37" t="inlineStr">
        <is>
          <t>EG</t>
        </is>
      </c>
      <c r="H233" s="38" t="inlineStr">
        <is>
          <t>이집트 (카이로)</t>
        </is>
      </c>
      <c r="I233" s="38" t="inlineStr">
        <is>
          <t>아인소크나항 (Ain Sokhna) / 알렉산드리아항 (EGSOK / EGALY)</t>
        </is>
      </c>
      <c r="J233" s="49" t="n">
        <v>0.05</v>
      </c>
      <c r="K233" s="49" t="n">
        <v>0.05</v>
      </c>
      <c r="L233" s="37" t="inlineStr">
        <is>
          <t>N</t>
        </is>
      </c>
      <c r="M233" s="39" t="inlineStr">
        <is>
          <t>-</t>
        </is>
      </c>
      <c r="N233" s="49" t="n">
        <v>0</v>
      </c>
      <c r="O233" s="50">
        <f>IF(L233="Y",K233,J233)+N233</f>
        <v/>
      </c>
      <c r="P233" s="38" t="inlineStr">
        <is>
          <t>아인소크나항(EGSOK)-&gt;카이로: 이집트 합성수지(HS 3902/3903) MFN 기본관세 5.0% 적용</t>
        </is>
      </c>
    </row>
    <row r="234" ht="15" customHeight="1" s="32">
      <c r="A234" s="43" t="inlineStr">
        <is>
          <t>HIPS</t>
        </is>
      </c>
      <c r="B234" s="43" t="inlineStr">
        <is>
          <t>Resin</t>
        </is>
      </c>
      <c r="C234" s="45" t="inlineStr">
        <is>
          <t>HIPS (내충격성 폴리스티렌)</t>
        </is>
      </c>
      <c r="D234" s="43" t="inlineStr">
        <is>
          <t>HS 3903.19</t>
        </is>
      </c>
      <c r="E234" s="43" t="inlineStr">
        <is>
          <t>KR</t>
        </is>
      </c>
      <c r="F234" s="44" t="inlineStr">
        <is>
          <t>한국</t>
        </is>
      </c>
      <c r="G234" s="43" t="inlineStr">
        <is>
          <t>US</t>
        </is>
      </c>
      <c r="H234" s="44" t="inlineStr">
        <is>
          <t>미국 (클락스빌)</t>
        </is>
      </c>
      <c r="I234" s="44" t="inlineStr">
        <is>
          <t>서배너항 (Savannah) / 찰스턴항 + 철도Ramp (USSAV / USCHS)</t>
        </is>
      </c>
      <c r="J234" s="51" t="n">
        <v>0.065</v>
      </c>
      <c r="K234" s="51" t="n">
        <v>0</v>
      </c>
      <c r="L234" s="43" t="inlineStr">
        <is>
          <t>Y</t>
        </is>
      </c>
      <c r="M234" s="44" t="inlineStr">
        <is>
          <t>한-미 FTA (KORUS)</t>
        </is>
      </c>
      <c r="N234" s="51" t="n">
        <v>0.125</v>
      </c>
      <c r="O234" s="52">
        <f>IF(L234="Y",K234,J234)+N234</f>
        <v/>
      </c>
      <c r="P234" s="44" t="inlineStr">
        <is>
          <t>서배너항-&gt;클락스빌: KORUS 기본 0%이나 2026.7 발효 미국 301조(9903.05.71)로 총 관세 12.5% 상한</t>
        </is>
      </c>
    </row>
    <row r="235" ht="15" customHeight="1" s="32">
      <c r="A235" s="37" t="inlineStr">
        <is>
          <t>HIPS</t>
        </is>
      </c>
      <c r="B235" s="37" t="inlineStr">
        <is>
          <t>Resin</t>
        </is>
      </c>
      <c r="C235" s="39" t="inlineStr">
        <is>
          <t>HIPS (내충격성 폴리스티렌)</t>
        </is>
      </c>
      <c r="D235" s="37" t="inlineStr">
        <is>
          <t>HS 3903.19</t>
        </is>
      </c>
      <c r="E235" s="37" t="inlineStr">
        <is>
          <t>KR</t>
        </is>
      </c>
      <c r="F235" s="38" t="inlineStr">
        <is>
          <t>한국</t>
        </is>
      </c>
      <c r="G235" s="37" t="inlineStr">
        <is>
          <t>NO</t>
        </is>
      </c>
      <c r="H235" s="38" t="inlineStr">
        <is>
          <t>노르웨이 (오슬로)</t>
        </is>
      </c>
      <c r="I235" s="38" t="inlineStr">
        <is>
          <t>오슬로항 (Port of Oslo) (NOOSL)</t>
        </is>
      </c>
      <c r="J235" s="49" t="n">
        <v>0</v>
      </c>
      <c r="K235" s="49" t="n">
        <v>0</v>
      </c>
      <c r="L235" s="37" t="inlineStr">
        <is>
          <t>N</t>
        </is>
      </c>
      <c r="M235" s="38" t="inlineStr">
        <is>
          <t>노르웨이 공산품 무관세 (한-EFTA 등)</t>
        </is>
      </c>
      <c r="N235" s="49" t="n">
        <v>0</v>
      </c>
      <c r="O235" s="50">
        <f>IF(L235="Y",K235,J235)+N235</f>
        <v/>
      </c>
      <c r="P235" s="38" t="inlineStr">
        <is>
          <t>오슬로항(NOOSL) 통관: 노르웨이 관세청(Tolltariffen) 철강·합성수지 전 품목 MFN 0% 무관세</t>
        </is>
      </c>
    </row>
    <row r="236" ht="15" customHeight="1" s="32">
      <c r="A236" s="43" t="inlineStr">
        <is>
          <t>HIPS</t>
        </is>
      </c>
      <c r="B236" s="43" t="inlineStr">
        <is>
          <t>Resin</t>
        </is>
      </c>
      <c r="C236" s="45" t="inlineStr">
        <is>
          <t>HIPS (내충격성 폴리스티렌)</t>
        </is>
      </c>
      <c r="D236" s="43" t="inlineStr">
        <is>
          <t>HS 3903.19</t>
        </is>
      </c>
      <c r="E236" s="43" t="inlineStr">
        <is>
          <t>CN</t>
        </is>
      </c>
      <c r="F236" s="44" t="inlineStr">
        <is>
          <t>중국</t>
        </is>
      </c>
      <c r="G236" s="43" t="inlineStr">
        <is>
          <t>KR</t>
        </is>
      </c>
      <c r="H236" s="44" t="inlineStr">
        <is>
          <t>한국 (부산)</t>
        </is>
      </c>
      <c r="I236" s="44" t="inlineStr">
        <is>
          <t>부산항 (Port of Busan) (KRPUS)</t>
        </is>
      </c>
      <c r="J236" s="51" t="n">
        <v>0.065</v>
      </c>
      <c r="K236" s="51" t="n">
        <v>0</v>
      </c>
      <c r="L236" s="43" t="inlineStr">
        <is>
          <t>Y</t>
        </is>
      </c>
      <c r="M236" s="44" t="inlineStr">
        <is>
          <t>한-중 FTA / RCEP</t>
        </is>
      </c>
      <c r="N236" s="51" t="n">
        <v>0</v>
      </c>
      <c r="O236" s="52">
        <f>IF(L236="Y",K236,J236)+N236</f>
        <v/>
      </c>
      <c r="P236" s="44" t="inlineStr">
        <is>
          <t>부산항 통관: 한-중 FTA 및 RCEP 양허세율 적용</t>
        </is>
      </c>
    </row>
    <row r="237" ht="15" customHeight="1" s="32">
      <c r="A237" s="37" t="inlineStr">
        <is>
          <t>HIPS</t>
        </is>
      </c>
      <c r="B237" s="37" t="inlineStr">
        <is>
          <t>Resin</t>
        </is>
      </c>
      <c r="C237" s="39" t="inlineStr">
        <is>
          <t>HIPS (내충격성 폴리스티렌)</t>
        </is>
      </c>
      <c r="D237" s="37" t="inlineStr">
        <is>
          <t>HS 3903.19</t>
        </is>
      </c>
      <c r="E237" s="37" t="inlineStr">
        <is>
          <t>CN</t>
        </is>
      </c>
      <c r="F237" s="38" t="inlineStr">
        <is>
          <t>중국</t>
        </is>
      </c>
      <c r="G237" s="37" t="inlineStr">
        <is>
          <t>CN</t>
        </is>
      </c>
      <c r="H237" s="38" t="inlineStr">
        <is>
          <t>중국 (천진)</t>
        </is>
      </c>
      <c r="I237" s="38" t="inlineStr">
        <is>
          <t>천진 신강항 (Tianjin Xingang) (CNTSN)</t>
        </is>
      </c>
      <c r="J237" s="49" t="n">
        <v>0</v>
      </c>
      <c r="K237" s="49" t="n">
        <v>0</v>
      </c>
      <c r="L237" s="37" t="inlineStr">
        <is>
          <t>N</t>
        </is>
      </c>
      <c r="M237" s="38" t="inlineStr">
        <is>
          <t>내수 조달 (관세 없음)</t>
        </is>
      </c>
      <c r="N237" s="49" t="n">
        <v>0</v>
      </c>
      <c r="O237" s="50">
        <f>IF(L237="Y",K237,J237)+N237</f>
        <v/>
      </c>
      <c r="P237" s="38" t="inlineStr">
        <is>
          <t>동일 국가 내 조달 (천진 (Tianjin) 직송, 수입관세 면제)</t>
        </is>
      </c>
    </row>
    <row r="238" ht="15" customHeight="1" s="32">
      <c r="A238" s="43" t="inlineStr">
        <is>
          <t>HIPS</t>
        </is>
      </c>
      <c r="B238" s="43" t="inlineStr">
        <is>
          <t>Resin</t>
        </is>
      </c>
      <c r="C238" s="45" t="inlineStr">
        <is>
          <t>HIPS (내충격성 폴리스티렌)</t>
        </is>
      </c>
      <c r="D238" s="43" t="inlineStr">
        <is>
          <t>HS 3903.19</t>
        </is>
      </c>
      <c r="E238" s="43" t="inlineStr">
        <is>
          <t>CN</t>
        </is>
      </c>
      <c r="F238" s="44" t="inlineStr">
        <is>
          <t>중국</t>
        </is>
      </c>
      <c r="G238" s="43" t="inlineStr">
        <is>
          <t>IN_NOI</t>
        </is>
      </c>
      <c r="H238" s="44" t="inlineStr">
        <is>
          <t>인도 (노이다)</t>
        </is>
      </c>
      <c r="I238" s="44" t="inlineStr">
        <is>
          <t>문드라항 (Mundra) + ICD 다드리 (INMUN-&gt;INDAD)</t>
        </is>
      </c>
      <c r="J238" s="51" t="n">
        <v>0.0825</v>
      </c>
      <c r="K238" s="51" t="n">
        <v>0.0825</v>
      </c>
      <c r="L238" s="43" t="inlineStr">
        <is>
          <t>N</t>
        </is>
      </c>
      <c r="M238" s="45" t="inlineStr">
        <is>
          <t>-</t>
        </is>
      </c>
      <c r="N238" s="51" t="n">
        <v>0</v>
      </c>
      <c r="O238" s="52">
        <f>IF(L238="Y",K238,J238)+N238</f>
        <v/>
      </c>
      <c r="P238" s="45" t="inlineStr">
        <is>
          <t>WTO/WITS 일반 MFN 세율 적용</t>
        </is>
      </c>
    </row>
    <row r="239" ht="15" customHeight="1" s="32">
      <c r="A239" s="37" t="inlineStr">
        <is>
          <t>HIPS</t>
        </is>
      </c>
      <c r="B239" s="37" t="inlineStr">
        <is>
          <t>Resin</t>
        </is>
      </c>
      <c r="C239" s="39" t="inlineStr">
        <is>
          <t>HIPS (내충격성 폴리스티렌)</t>
        </is>
      </c>
      <c r="D239" s="37" t="inlineStr">
        <is>
          <t>HS 3903.19</t>
        </is>
      </c>
      <c r="E239" s="37" t="inlineStr">
        <is>
          <t>CN</t>
        </is>
      </c>
      <c r="F239" s="38" t="inlineStr">
        <is>
          <t>중국</t>
        </is>
      </c>
      <c r="G239" s="37" t="inlineStr">
        <is>
          <t>IN_PUN</t>
        </is>
      </c>
      <c r="H239" s="38" t="inlineStr">
        <is>
          <t>인도 (푸네)</t>
        </is>
      </c>
      <c r="I239" s="38" t="inlineStr">
        <is>
          <t>나바셰바항 (JNPT Mumbai) (INNSA)</t>
        </is>
      </c>
      <c r="J239" s="49" t="n">
        <v>0.0825</v>
      </c>
      <c r="K239" s="49" t="n">
        <v>0.0825</v>
      </c>
      <c r="L239" s="37" t="inlineStr">
        <is>
          <t>N</t>
        </is>
      </c>
      <c r="M239" s="39" t="inlineStr">
        <is>
          <t>-</t>
        </is>
      </c>
      <c r="N239" s="49" t="n">
        <v>0</v>
      </c>
      <c r="O239" s="50">
        <f>IF(L239="Y",K239,J239)+N239</f>
        <v/>
      </c>
      <c r="P239" s="39" t="inlineStr">
        <is>
          <t>WTO/WITS 일반 MFN 세율 적용</t>
        </is>
      </c>
    </row>
    <row r="240" ht="15" customHeight="1" s="32">
      <c r="A240" s="43" t="inlineStr">
        <is>
          <t>HIPS</t>
        </is>
      </c>
      <c r="B240" s="43" t="inlineStr">
        <is>
          <t>Resin</t>
        </is>
      </c>
      <c r="C240" s="45" t="inlineStr">
        <is>
          <t>HIPS (내충격성 폴리스티렌)</t>
        </is>
      </c>
      <c r="D240" s="43" t="inlineStr">
        <is>
          <t>HS 3903.19</t>
        </is>
      </c>
      <c r="E240" s="43" t="inlineStr">
        <is>
          <t>CN</t>
        </is>
      </c>
      <c r="F240" s="44" t="inlineStr">
        <is>
          <t>중국</t>
        </is>
      </c>
      <c r="G240" s="43" t="inlineStr">
        <is>
          <t>TH</t>
        </is>
      </c>
      <c r="H240" s="44" t="inlineStr">
        <is>
          <t>태국 (람차방)</t>
        </is>
      </c>
      <c r="I240" s="44" t="inlineStr">
        <is>
          <t>람차방항 (Laem Chabang) (THLCH)</t>
        </is>
      </c>
      <c r="J240" s="51" t="n">
        <v>0.05</v>
      </c>
      <c r="K240" s="51" t="n">
        <v>0</v>
      </c>
      <c r="L240" s="43" t="inlineStr">
        <is>
          <t>Y</t>
        </is>
      </c>
      <c r="M240" s="45" t="inlineStr">
        <is>
          <t>ASEAN FTA / RCEP</t>
        </is>
      </c>
      <c r="N240" s="51" t="n">
        <v>0</v>
      </c>
      <c r="O240" s="52">
        <f>IF(L240="Y",K240,J240)+N240</f>
        <v/>
      </c>
      <c r="P240" s="44" t="inlineStr">
        <is>
          <t>람차방항 통관: 아세안 역외 FTA 합성수지 0% 양허</t>
        </is>
      </c>
    </row>
    <row r="241" ht="15" customHeight="1" s="32">
      <c r="A241" s="37" t="inlineStr">
        <is>
          <t>HIPS</t>
        </is>
      </c>
      <c r="B241" s="37" t="inlineStr">
        <is>
          <t>Resin</t>
        </is>
      </c>
      <c r="C241" s="39" t="inlineStr">
        <is>
          <t>HIPS (내충격성 폴리스티렌)</t>
        </is>
      </c>
      <c r="D241" s="37" t="inlineStr">
        <is>
          <t>HS 3903.19</t>
        </is>
      </c>
      <c r="E241" s="37" t="inlineStr">
        <is>
          <t>CN</t>
        </is>
      </c>
      <c r="F241" s="38" t="inlineStr">
        <is>
          <t>중국</t>
        </is>
      </c>
      <c r="G241" s="37" t="inlineStr">
        <is>
          <t>ID</t>
        </is>
      </c>
      <c r="H241" s="38" t="inlineStr">
        <is>
          <t>인니 (자카르타)</t>
        </is>
      </c>
      <c r="I241" s="38" t="inlineStr">
        <is>
          <t>탄중프리옥항 (Tanjung Priok) (IDJKT)</t>
        </is>
      </c>
      <c r="J241" s="49" t="n">
        <v>0.1</v>
      </c>
      <c r="K241" s="49" t="n">
        <v>0</v>
      </c>
      <c r="L241" s="37" t="inlineStr">
        <is>
          <t>Y</t>
        </is>
      </c>
      <c r="M241" s="38" t="inlineStr">
        <is>
          <t>중-ASEAN FTA (ACFTA)</t>
        </is>
      </c>
      <c r="N241" s="49" t="n">
        <v>0</v>
      </c>
      <c r="O241" s="50">
        <f>IF(L241="Y",K241,J241)+N241</f>
        <v/>
      </c>
      <c r="P241" s="38" t="inlineStr">
        <is>
          <t>탄중프리옥항 통관: ACFTA 0% 양허 적용</t>
        </is>
      </c>
    </row>
    <row r="242" ht="15" customHeight="1" s="32">
      <c r="A242" s="43" t="inlineStr">
        <is>
          <t>HIPS</t>
        </is>
      </c>
      <c r="B242" s="43" t="inlineStr">
        <is>
          <t>Resin</t>
        </is>
      </c>
      <c r="C242" s="45" t="inlineStr">
        <is>
          <t>HIPS (내충격성 폴리스티렌)</t>
        </is>
      </c>
      <c r="D242" s="43" t="inlineStr">
        <is>
          <t>HS 3903.19</t>
        </is>
      </c>
      <c r="E242" s="43" t="inlineStr">
        <is>
          <t>CN</t>
        </is>
      </c>
      <c r="F242" s="44" t="inlineStr">
        <is>
          <t>중국</t>
        </is>
      </c>
      <c r="G242" s="43" t="inlineStr">
        <is>
          <t>SA</t>
        </is>
      </c>
      <c r="H242" s="44" t="inlineStr">
        <is>
          <t>사우디 (제다)</t>
        </is>
      </c>
      <c r="I242" s="44" t="inlineStr">
        <is>
          <t>제다 이슬람항 (Jeddah Islamic Port) (SAJED)</t>
        </is>
      </c>
      <c r="J242" s="51" t="n">
        <v>0.05</v>
      </c>
      <c r="K242" s="51" t="n">
        <v>0.05</v>
      </c>
      <c r="L242" s="43" t="inlineStr">
        <is>
          <t>N</t>
        </is>
      </c>
      <c r="M242" s="45" t="inlineStr">
        <is>
          <t>-</t>
        </is>
      </c>
      <c r="N242" s="51" t="n">
        <v>0</v>
      </c>
      <c r="O242" s="52">
        <f>IF(L242="Y",K242,J242)+N242</f>
        <v/>
      </c>
      <c r="P242" s="44" t="inlineStr">
        <is>
          <t>제다 이슬람항 통관: GCC 공동관세율(CET) 기본 5.0% 적용</t>
        </is>
      </c>
    </row>
    <row r="243" ht="15" customHeight="1" s="32">
      <c r="A243" s="37" t="inlineStr">
        <is>
          <t>HIPS</t>
        </is>
      </c>
      <c r="B243" s="37" t="inlineStr">
        <is>
          <t>Resin</t>
        </is>
      </c>
      <c r="C243" s="39" t="inlineStr">
        <is>
          <t>HIPS (내충격성 폴리스티렌)</t>
        </is>
      </c>
      <c r="D243" s="37" t="inlineStr">
        <is>
          <t>HS 3903.19</t>
        </is>
      </c>
      <c r="E243" s="37" t="inlineStr">
        <is>
          <t>CN</t>
        </is>
      </c>
      <c r="F243" s="38" t="inlineStr">
        <is>
          <t>중국</t>
        </is>
      </c>
      <c r="G243" s="37" t="inlineStr">
        <is>
          <t>BR</t>
        </is>
      </c>
      <c r="H243" s="38" t="inlineStr">
        <is>
          <t>브라질 (마나우스)</t>
        </is>
      </c>
      <c r="I243" s="38" t="inlineStr">
        <is>
          <t>마나우스항 (Porto de Manaus / Chibatao) (BRMAO)</t>
        </is>
      </c>
      <c r="J243" s="49" t="n">
        <v>0.126</v>
      </c>
      <c r="K243" s="49" t="n">
        <v>0.126</v>
      </c>
      <c r="L243" s="37" t="inlineStr">
        <is>
          <t>N</t>
        </is>
      </c>
      <c r="M243" s="39" t="inlineStr">
        <is>
          <t>-</t>
        </is>
      </c>
      <c r="N243" s="49" t="n">
        <v>0</v>
      </c>
      <c r="O243" s="50">
        <f>IF(L243="Y",K243,J243)+N243</f>
        <v/>
      </c>
      <c r="P243" s="38" t="inlineStr">
        <is>
          <t>마나우스항 통관: Mercosur TEC 12.6% (마나우스 ZFM 88% 감면 시 1.51%)</t>
        </is>
      </c>
    </row>
    <row r="244" ht="15" customHeight="1" s="32">
      <c r="A244" s="43" t="inlineStr">
        <is>
          <t>HIPS</t>
        </is>
      </c>
      <c r="B244" s="43" t="inlineStr">
        <is>
          <t>Resin</t>
        </is>
      </c>
      <c r="C244" s="45" t="inlineStr">
        <is>
          <t>HIPS (내충격성 폴리스티렌)</t>
        </is>
      </c>
      <c r="D244" s="43" t="inlineStr">
        <is>
          <t>HS 3903.19</t>
        </is>
      </c>
      <c r="E244" s="43" t="inlineStr">
        <is>
          <t>CN</t>
        </is>
      </c>
      <c r="F244" s="44" t="inlineStr">
        <is>
          <t>중국</t>
        </is>
      </c>
      <c r="G244" s="43" t="inlineStr">
        <is>
          <t>EG</t>
        </is>
      </c>
      <c r="H244" s="44" t="inlineStr">
        <is>
          <t>이집트 (카이로)</t>
        </is>
      </c>
      <c r="I244" s="44" t="inlineStr">
        <is>
          <t>아인소크나항 (Ain Sokhna) / 알렉산드리아항 (EGSOK / EGALY)</t>
        </is>
      </c>
      <c r="J244" s="51" t="n">
        <v>0.05</v>
      </c>
      <c r="K244" s="51" t="n">
        <v>0.05</v>
      </c>
      <c r="L244" s="43" t="inlineStr">
        <is>
          <t>N</t>
        </is>
      </c>
      <c r="M244" s="45" t="inlineStr">
        <is>
          <t>-</t>
        </is>
      </c>
      <c r="N244" s="51" t="n">
        <v>0</v>
      </c>
      <c r="O244" s="52">
        <f>IF(L244="Y",K244,J244)+N244</f>
        <v/>
      </c>
      <c r="P244" s="44" t="inlineStr">
        <is>
          <t>아인소크나항(EGSOK)-&gt;카이로: 이집트 합성수지(HS 3902/3903) MFN 기본관세 5.0% 적용</t>
        </is>
      </c>
    </row>
    <row r="245" ht="15" customHeight="1" s="32">
      <c r="A245" s="37" t="inlineStr">
        <is>
          <t>HIPS</t>
        </is>
      </c>
      <c r="B245" s="37" t="inlineStr">
        <is>
          <t>Resin</t>
        </is>
      </c>
      <c r="C245" s="39" t="inlineStr">
        <is>
          <t>HIPS (내충격성 폴리스티렌)</t>
        </is>
      </c>
      <c r="D245" s="37" t="inlineStr">
        <is>
          <t>HS 3903.19</t>
        </is>
      </c>
      <c r="E245" s="37" t="inlineStr">
        <is>
          <t>CN</t>
        </is>
      </c>
      <c r="F245" s="38" t="inlineStr">
        <is>
          <t>중국</t>
        </is>
      </c>
      <c r="G245" s="37" t="inlineStr">
        <is>
          <t>US</t>
        </is>
      </c>
      <c r="H245" s="38" t="inlineStr">
        <is>
          <t>미국 (클락스빌)</t>
        </is>
      </c>
      <c r="I245" s="38" t="inlineStr">
        <is>
          <t>서배너항 (Savannah) / 찰스턴항 + 철도Ramp (USSAV / USCHS)</t>
        </is>
      </c>
      <c r="J245" s="49" t="n">
        <v>0.065</v>
      </c>
      <c r="K245" s="49" t="n">
        <v>0.065</v>
      </c>
      <c r="L245" s="37" t="inlineStr">
        <is>
          <t>N</t>
        </is>
      </c>
      <c r="M245" s="39" t="inlineStr">
        <is>
          <t>-</t>
        </is>
      </c>
      <c r="N245" s="49" t="n">
        <v>0.375</v>
      </c>
      <c r="O245" s="50">
        <f>IF(L245="Y",K245,J245)+N245</f>
        <v/>
      </c>
      <c r="P245" s="38" t="inlineStr">
        <is>
          <t>서배너항-&gt;클락스빌: MFN 6.5% + 대중국 301조 List 3(25%) + 2026.7 추가 301조(12.5%) 합산 44.0%</t>
        </is>
      </c>
    </row>
    <row r="246" ht="15" customHeight="1" s="32">
      <c r="A246" s="43" t="inlineStr">
        <is>
          <t>HIPS</t>
        </is>
      </c>
      <c r="B246" s="43" t="inlineStr">
        <is>
          <t>Resin</t>
        </is>
      </c>
      <c r="C246" s="45" t="inlineStr">
        <is>
          <t>HIPS (내충격성 폴리스티렌)</t>
        </is>
      </c>
      <c r="D246" s="43" t="inlineStr">
        <is>
          <t>HS 3903.19</t>
        </is>
      </c>
      <c r="E246" s="43" t="inlineStr">
        <is>
          <t>CN</t>
        </is>
      </c>
      <c r="F246" s="44" t="inlineStr">
        <is>
          <t>중국</t>
        </is>
      </c>
      <c r="G246" s="43" t="inlineStr">
        <is>
          <t>NO</t>
        </is>
      </c>
      <c r="H246" s="44" t="inlineStr">
        <is>
          <t>노르웨이 (오슬로)</t>
        </is>
      </c>
      <c r="I246" s="44" t="inlineStr">
        <is>
          <t>오슬로항 (Port of Oslo) (NOOSL)</t>
        </is>
      </c>
      <c r="J246" s="51" t="n">
        <v>0</v>
      </c>
      <c r="K246" s="51" t="n">
        <v>0</v>
      </c>
      <c r="L246" s="43" t="inlineStr">
        <is>
          <t>N</t>
        </is>
      </c>
      <c r="M246" s="44" t="inlineStr">
        <is>
          <t>노르웨이 공산품 무관세 (한-EFTA 등)</t>
        </is>
      </c>
      <c r="N246" s="51" t="n">
        <v>0</v>
      </c>
      <c r="O246" s="52">
        <f>IF(L246="Y",K246,J246)+N246</f>
        <v/>
      </c>
      <c r="P246" s="44" t="inlineStr">
        <is>
          <t>오슬로항(NOOSL) 통관: 노르웨이 관세청(Tolltariffen) 철강·합성수지 전 품목 MFN 0% 무관세</t>
        </is>
      </c>
    </row>
    <row r="247" ht="15" customHeight="1" s="32">
      <c r="A247" s="37" t="inlineStr">
        <is>
          <t>HIPS</t>
        </is>
      </c>
      <c r="B247" s="37" t="inlineStr">
        <is>
          <t>Resin</t>
        </is>
      </c>
      <c r="C247" s="39" t="inlineStr">
        <is>
          <t>HIPS (내충격성 폴리스티렌)</t>
        </is>
      </c>
      <c r="D247" s="37" t="inlineStr">
        <is>
          <t>HS 3903.19</t>
        </is>
      </c>
      <c r="E247" s="37" t="inlineStr">
        <is>
          <t>TH</t>
        </is>
      </c>
      <c r="F247" s="38" t="inlineStr">
        <is>
          <t>태국</t>
        </is>
      </c>
      <c r="G247" s="37" t="inlineStr">
        <is>
          <t>KR</t>
        </is>
      </c>
      <c r="H247" s="38" t="inlineStr">
        <is>
          <t>한국 (부산)</t>
        </is>
      </c>
      <c r="I247" s="38" t="inlineStr">
        <is>
          <t>부산항 (Port of Busan) (KRPUS)</t>
        </is>
      </c>
      <c r="J247" s="49" t="n">
        <v>0.065</v>
      </c>
      <c r="K247" s="49" t="n">
        <v>0</v>
      </c>
      <c r="L247" s="37" t="inlineStr">
        <is>
          <t>Y</t>
        </is>
      </c>
      <c r="M247" s="38" t="inlineStr">
        <is>
          <t>한-ASEAN FTA / RCEP</t>
        </is>
      </c>
      <c r="N247" s="49" t="n">
        <v>0</v>
      </c>
      <c r="O247" s="50">
        <f>IF(L247="Y",K247,J247)+N247</f>
        <v/>
      </c>
      <c r="P247" s="38" t="inlineStr">
        <is>
          <t>부산항 통관: 한-아세안 FTA 0% 양허</t>
        </is>
      </c>
    </row>
    <row r="248" ht="15" customHeight="1" s="32">
      <c r="A248" s="43" t="inlineStr">
        <is>
          <t>HIPS</t>
        </is>
      </c>
      <c r="B248" s="43" t="inlineStr">
        <is>
          <t>Resin</t>
        </is>
      </c>
      <c r="C248" s="45" t="inlineStr">
        <is>
          <t>HIPS (내충격성 폴리스티렌)</t>
        </is>
      </c>
      <c r="D248" s="43" t="inlineStr">
        <is>
          <t>HS 3903.19</t>
        </is>
      </c>
      <c r="E248" s="43" t="inlineStr">
        <is>
          <t>TH</t>
        </is>
      </c>
      <c r="F248" s="44" t="inlineStr">
        <is>
          <t>태국</t>
        </is>
      </c>
      <c r="G248" s="43" t="inlineStr">
        <is>
          <t>CN</t>
        </is>
      </c>
      <c r="H248" s="44" t="inlineStr">
        <is>
          <t>중국 (천진)</t>
        </is>
      </c>
      <c r="I248" s="44" t="inlineStr">
        <is>
          <t>천진 신강항 (Tianjin Xingang) (CNTSN)</t>
        </is>
      </c>
      <c r="J248" s="51" t="n">
        <v>0.065</v>
      </c>
      <c r="K248" s="51" t="n">
        <v>0</v>
      </c>
      <c r="L248" s="43" t="inlineStr">
        <is>
          <t>Y</t>
        </is>
      </c>
      <c r="M248" s="44" t="inlineStr">
        <is>
          <t>중-ASEAN FTA (ACFTA)</t>
        </is>
      </c>
      <c r="N248" s="51" t="n">
        <v>0</v>
      </c>
      <c r="O248" s="52">
        <f>IF(L248="Y",K248,J248)+N248</f>
        <v/>
      </c>
      <c r="P248" s="44" t="inlineStr">
        <is>
          <t>천진 신강항 통관: 중-아세안 FTA 합성수지 0% 무관세</t>
        </is>
      </c>
    </row>
    <row r="249" ht="15" customHeight="1" s="32">
      <c r="A249" s="37" t="inlineStr">
        <is>
          <t>HIPS</t>
        </is>
      </c>
      <c r="B249" s="37" t="inlineStr">
        <is>
          <t>Resin</t>
        </is>
      </c>
      <c r="C249" s="39" t="inlineStr">
        <is>
          <t>HIPS (내충격성 폴리스티렌)</t>
        </is>
      </c>
      <c r="D249" s="37" t="inlineStr">
        <is>
          <t>HS 3903.19</t>
        </is>
      </c>
      <c r="E249" s="37" t="inlineStr">
        <is>
          <t>TH</t>
        </is>
      </c>
      <c r="F249" s="38" t="inlineStr">
        <is>
          <t>태국</t>
        </is>
      </c>
      <c r="G249" s="37" t="inlineStr">
        <is>
          <t>IN_NOI</t>
        </is>
      </c>
      <c r="H249" s="38" t="inlineStr">
        <is>
          <t>인도 (노이다)</t>
        </is>
      </c>
      <c r="I249" s="38" t="inlineStr">
        <is>
          <t>문드라항 (Mundra) + ICD 다드리 (INMUN-&gt;INDAD)</t>
        </is>
      </c>
      <c r="J249" s="49" t="n">
        <v>0.0825</v>
      </c>
      <c r="K249" s="49" t="n">
        <v>0.02</v>
      </c>
      <c r="L249" s="37" t="inlineStr">
        <is>
          <t>Y</t>
        </is>
      </c>
      <c r="M249" s="38" t="inlineStr">
        <is>
          <t>인도-ASEAN FTA</t>
        </is>
      </c>
      <c r="N249" s="49" t="n">
        <v>0</v>
      </c>
      <c r="O249" s="50">
        <f>IF(L249="Y",K249,J249)+N249</f>
        <v/>
      </c>
      <c r="P249" s="38" t="inlineStr">
        <is>
          <t>문드라항-&gt;ICD 다드리(노이다) 통관: 인도-아세안 FTA 폴리머 양허세율 적용</t>
        </is>
      </c>
    </row>
    <row r="250" ht="15" customHeight="1" s="32">
      <c r="A250" s="43" t="inlineStr">
        <is>
          <t>HIPS</t>
        </is>
      </c>
      <c r="B250" s="43" t="inlineStr">
        <is>
          <t>Resin</t>
        </is>
      </c>
      <c r="C250" s="45" t="inlineStr">
        <is>
          <t>HIPS (내충격성 폴리스티렌)</t>
        </is>
      </c>
      <c r="D250" s="43" t="inlineStr">
        <is>
          <t>HS 3903.19</t>
        </is>
      </c>
      <c r="E250" s="43" t="inlineStr">
        <is>
          <t>TH</t>
        </is>
      </c>
      <c r="F250" s="44" t="inlineStr">
        <is>
          <t>태국</t>
        </is>
      </c>
      <c r="G250" s="43" t="inlineStr">
        <is>
          <t>IN_PUN</t>
        </is>
      </c>
      <c r="H250" s="44" t="inlineStr">
        <is>
          <t>인도 (푸네)</t>
        </is>
      </c>
      <c r="I250" s="44" t="inlineStr">
        <is>
          <t>나바셰바항 (JNPT Mumbai) (INNSA)</t>
        </is>
      </c>
      <c r="J250" s="51" t="n">
        <v>0.0825</v>
      </c>
      <c r="K250" s="51" t="n">
        <v>0.02</v>
      </c>
      <c r="L250" s="43" t="inlineStr">
        <is>
          <t>Y</t>
        </is>
      </c>
      <c r="M250" s="44" t="inlineStr">
        <is>
          <t>인도-ASEAN FTA</t>
        </is>
      </c>
      <c r="N250" s="51" t="n">
        <v>0</v>
      </c>
      <c r="O250" s="52">
        <f>IF(L250="Y",K250,J250)+N250</f>
        <v/>
      </c>
      <c r="P250" s="44" t="inlineStr">
        <is>
          <t>나바셰바항(푸네) 통관: 인도-아세안 FTA 폴리머 양허세율 적용</t>
        </is>
      </c>
    </row>
    <row r="251" ht="15" customHeight="1" s="32">
      <c r="A251" s="37" t="inlineStr">
        <is>
          <t>HIPS</t>
        </is>
      </c>
      <c r="B251" s="37" t="inlineStr">
        <is>
          <t>Resin</t>
        </is>
      </c>
      <c r="C251" s="39" t="inlineStr">
        <is>
          <t>HIPS (내충격성 폴리스티렌)</t>
        </is>
      </c>
      <c r="D251" s="37" t="inlineStr">
        <is>
          <t>HS 3903.19</t>
        </is>
      </c>
      <c r="E251" s="37" t="inlineStr">
        <is>
          <t>TH</t>
        </is>
      </c>
      <c r="F251" s="38" t="inlineStr">
        <is>
          <t>태국</t>
        </is>
      </c>
      <c r="G251" s="37" t="inlineStr">
        <is>
          <t>TH</t>
        </is>
      </c>
      <c r="H251" s="38" t="inlineStr">
        <is>
          <t>태국 (람차방)</t>
        </is>
      </c>
      <c r="I251" s="38" t="inlineStr">
        <is>
          <t>람차방항 (Laem Chabang) (THLCH)</t>
        </is>
      </c>
      <c r="J251" s="49" t="n">
        <v>0</v>
      </c>
      <c r="K251" s="49" t="n">
        <v>0</v>
      </c>
      <c r="L251" s="37" t="inlineStr">
        <is>
          <t>N</t>
        </is>
      </c>
      <c r="M251" s="38" t="inlineStr">
        <is>
          <t>내수 조달 (관세 없음)</t>
        </is>
      </c>
      <c r="N251" s="49" t="n">
        <v>0</v>
      </c>
      <c r="O251" s="50">
        <f>IF(L251="Y",K251,J251)+N251</f>
        <v/>
      </c>
      <c r="P251" s="38" t="inlineStr">
        <is>
          <t>동일 국가 내 조달 (람차방 / 라용 (Laem Chabang) 직송, 수입관세 면제)</t>
        </is>
      </c>
    </row>
    <row r="252" ht="15" customHeight="1" s="32">
      <c r="A252" s="43" t="inlineStr">
        <is>
          <t>HIPS</t>
        </is>
      </c>
      <c r="B252" s="43" t="inlineStr">
        <is>
          <t>Resin</t>
        </is>
      </c>
      <c r="C252" s="45" t="inlineStr">
        <is>
          <t>HIPS (내충격성 폴리스티렌)</t>
        </is>
      </c>
      <c r="D252" s="43" t="inlineStr">
        <is>
          <t>HS 3903.19</t>
        </is>
      </c>
      <c r="E252" s="43" t="inlineStr">
        <is>
          <t>TH</t>
        </is>
      </c>
      <c r="F252" s="44" t="inlineStr">
        <is>
          <t>태국</t>
        </is>
      </c>
      <c r="G252" s="43" t="inlineStr">
        <is>
          <t>ID</t>
        </is>
      </c>
      <c r="H252" s="44" t="inlineStr">
        <is>
          <t>인니 (자카르타)</t>
        </is>
      </c>
      <c r="I252" s="44" t="inlineStr">
        <is>
          <t>탄중프리옥항 (Tanjung Priok) (IDJKT)</t>
        </is>
      </c>
      <c r="J252" s="51" t="n">
        <v>0.1</v>
      </c>
      <c r="K252" s="51" t="n">
        <v>0</v>
      </c>
      <c r="L252" s="43" t="inlineStr">
        <is>
          <t>Y</t>
        </is>
      </c>
      <c r="M252" s="45" t="inlineStr">
        <is>
          <t>ATIGA (아세안무역협정)</t>
        </is>
      </c>
      <c r="N252" s="51" t="n">
        <v>0</v>
      </c>
      <c r="O252" s="52">
        <f>IF(L252="Y",K252,J252)+N252</f>
        <v/>
      </c>
      <c r="P252" s="44" t="inlineStr">
        <is>
          <t>탄중프리옥항 통관: ATIGA 역내 무관세(0%)</t>
        </is>
      </c>
    </row>
    <row r="253" ht="15" customHeight="1" s="32">
      <c r="A253" s="37" t="inlineStr">
        <is>
          <t>HIPS</t>
        </is>
      </c>
      <c r="B253" s="37" t="inlineStr">
        <is>
          <t>Resin</t>
        </is>
      </c>
      <c r="C253" s="39" t="inlineStr">
        <is>
          <t>HIPS (내충격성 폴리스티렌)</t>
        </is>
      </c>
      <c r="D253" s="37" t="inlineStr">
        <is>
          <t>HS 3903.19</t>
        </is>
      </c>
      <c r="E253" s="37" t="inlineStr">
        <is>
          <t>TH</t>
        </is>
      </c>
      <c r="F253" s="38" t="inlineStr">
        <is>
          <t>태국</t>
        </is>
      </c>
      <c r="G253" s="37" t="inlineStr">
        <is>
          <t>SA</t>
        </is>
      </c>
      <c r="H253" s="38" t="inlineStr">
        <is>
          <t>사우디 (제다)</t>
        </is>
      </c>
      <c r="I253" s="38" t="inlineStr">
        <is>
          <t>제다 이슬람항 (Jeddah Islamic Port) (SAJED)</t>
        </is>
      </c>
      <c r="J253" s="49" t="n">
        <v>0.05</v>
      </c>
      <c r="K253" s="49" t="n">
        <v>0.05</v>
      </c>
      <c r="L253" s="37" t="inlineStr">
        <is>
          <t>N</t>
        </is>
      </c>
      <c r="M253" s="39" t="inlineStr">
        <is>
          <t>-</t>
        </is>
      </c>
      <c r="N253" s="49" t="n">
        <v>0</v>
      </c>
      <c r="O253" s="50">
        <f>IF(L253="Y",K253,J253)+N253</f>
        <v/>
      </c>
      <c r="P253" s="38" t="inlineStr">
        <is>
          <t>제다 이슬람항 통관: GCC 공동관세율(CET) 기본 5.0% 적용</t>
        </is>
      </c>
    </row>
    <row r="254" ht="15" customHeight="1" s="32">
      <c r="A254" s="43" t="inlineStr">
        <is>
          <t>HIPS</t>
        </is>
      </c>
      <c r="B254" s="43" t="inlineStr">
        <is>
          <t>Resin</t>
        </is>
      </c>
      <c r="C254" s="45" t="inlineStr">
        <is>
          <t>HIPS (내충격성 폴리스티렌)</t>
        </is>
      </c>
      <c r="D254" s="43" t="inlineStr">
        <is>
          <t>HS 3903.19</t>
        </is>
      </c>
      <c r="E254" s="43" t="inlineStr">
        <is>
          <t>TH</t>
        </is>
      </c>
      <c r="F254" s="44" t="inlineStr">
        <is>
          <t>태국</t>
        </is>
      </c>
      <c r="G254" s="43" t="inlineStr">
        <is>
          <t>BR</t>
        </is>
      </c>
      <c r="H254" s="44" t="inlineStr">
        <is>
          <t>브라질 (마나우스)</t>
        </is>
      </c>
      <c r="I254" s="44" t="inlineStr">
        <is>
          <t>마나우스항 (Porto de Manaus / Chibatao) (BRMAO)</t>
        </is>
      </c>
      <c r="J254" s="51" t="n">
        <v>0.126</v>
      </c>
      <c r="K254" s="51" t="n">
        <v>0.126</v>
      </c>
      <c r="L254" s="43" t="inlineStr">
        <is>
          <t>N</t>
        </is>
      </c>
      <c r="M254" s="45" t="inlineStr">
        <is>
          <t>-</t>
        </is>
      </c>
      <c r="N254" s="51" t="n">
        <v>0</v>
      </c>
      <c r="O254" s="52">
        <f>IF(L254="Y",K254,J254)+N254</f>
        <v/>
      </c>
      <c r="P254" s="44" t="inlineStr">
        <is>
          <t>마나우스항 통관: Mercosur TEC 12.6% (마나우스 ZFM 88% 감면 시 1.51%)</t>
        </is>
      </c>
    </row>
    <row r="255" ht="15" customHeight="1" s="32">
      <c r="A255" s="37" t="inlineStr">
        <is>
          <t>HIPS</t>
        </is>
      </c>
      <c r="B255" s="37" t="inlineStr">
        <is>
          <t>Resin</t>
        </is>
      </c>
      <c r="C255" s="39" t="inlineStr">
        <is>
          <t>HIPS (내충격성 폴리스티렌)</t>
        </is>
      </c>
      <c r="D255" s="37" t="inlineStr">
        <is>
          <t>HS 3903.19</t>
        </is>
      </c>
      <c r="E255" s="37" t="inlineStr">
        <is>
          <t>TH</t>
        </is>
      </c>
      <c r="F255" s="38" t="inlineStr">
        <is>
          <t>태국</t>
        </is>
      </c>
      <c r="G255" s="37" t="inlineStr">
        <is>
          <t>EG</t>
        </is>
      </c>
      <c r="H255" s="38" t="inlineStr">
        <is>
          <t>이집트 (카이로)</t>
        </is>
      </c>
      <c r="I255" s="38" t="inlineStr">
        <is>
          <t>아인소크나항 (Ain Sokhna) / 알렉산드리아항 (EGSOK / EGALY)</t>
        </is>
      </c>
      <c r="J255" s="49" t="n">
        <v>0.05</v>
      </c>
      <c r="K255" s="49" t="n">
        <v>0.05</v>
      </c>
      <c r="L255" s="37" t="inlineStr">
        <is>
          <t>N</t>
        </is>
      </c>
      <c r="M255" s="39" t="inlineStr">
        <is>
          <t>-</t>
        </is>
      </c>
      <c r="N255" s="49" t="n">
        <v>0</v>
      </c>
      <c r="O255" s="50">
        <f>IF(L255="Y",K255,J255)+N255</f>
        <v/>
      </c>
      <c r="P255" s="38" t="inlineStr">
        <is>
          <t>아인소크나항(EGSOK)-&gt;카이로: 이집트 합성수지(HS 3902/3903) MFN 기본관세 5.0% 적용</t>
        </is>
      </c>
    </row>
    <row r="256" ht="15" customHeight="1" s="32">
      <c r="A256" s="43" t="inlineStr">
        <is>
          <t>HIPS</t>
        </is>
      </c>
      <c r="B256" s="43" t="inlineStr">
        <is>
          <t>Resin</t>
        </is>
      </c>
      <c r="C256" s="45" t="inlineStr">
        <is>
          <t>HIPS (내충격성 폴리스티렌)</t>
        </is>
      </c>
      <c r="D256" s="43" t="inlineStr">
        <is>
          <t>HS 3903.19</t>
        </is>
      </c>
      <c r="E256" s="43" t="inlineStr">
        <is>
          <t>TH</t>
        </is>
      </c>
      <c r="F256" s="44" t="inlineStr">
        <is>
          <t>태국</t>
        </is>
      </c>
      <c r="G256" s="43" t="inlineStr">
        <is>
          <t>US</t>
        </is>
      </c>
      <c r="H256" s="44" t="inlineStr">
        <is>
          <t>미국 (클락스빌)</t>
        </is>
      </c>
      <c r="I256" s="44" t="inlineStr">
        <is>
          <t>서배너항 (Savannah) / 찰스턴항 + 철도Ramp (USSAV / USCHS)</t>
        </is>
      </c>
      <c r="J256" s="51" t="n">
        <v>0.065</v>
      </c>
      <c r="K256" s="51" t="n">
        <v>0.065</v>
      </c>
      <c r="L256" s="43" t="inlineStr">
        <is>
          <t>N</t>
        </is>
      </c>
      <c r="M256" s="45" t="inlineStr">
        <is>
          <t>-</t>
        </is>
      </c>
      <c r="N256" s="51" t="n">
        <v>0.125</v>
      </c>
      <c r="O256" s="52">
        <f>IF(L256="Y",K256,J256)+N256</f>
        <v/>
      </c>
      <c r="P256" s="44" t="inlineStr">
        <is>
          <t>서배너항-&gt;클락스빌: MFN 6.5% + 2026.7 미국 301조(태국산 +12.5%p) 합산 19.0%</t>
        </is>
      </c>
    </row>
    <row r="257" ht="15" customHeight="1" s="32">
      <c r="A257" s="37" t="inlineStr">
        <is>
          <t>HIPS</t>
        </is>
      </c>
      <c r="B257" s="37" t="inlineStr">
        <is>
          <t>Resin</t>
        </is>
      </c>
      <c r="C257" s="39" t="inlineStr">
        <is>
          <t>HIPS (내충격성 폴리스티렌)</t>
        </is>
      </c>
      <c r="D257" s="37" t="inlineStr">
        <is>
          <t>HS 3903.19</t>
        </is>
      </c>
      <c r="E257" s="37" t="inlineStr">
        <is>
          <t>TH</t>
        </is>
      </c>
      <c r="F257" s="38" t="inlineStr">
        <is>
          <t>태국</t>
        </is>
      </c>
      <c r="G257" s="37" t="inlineStr">
        <is>
          <t>NO</t>
        </is>
      </c>
      <c r="H257" s="38" t="inlineStr">
        <is>
          <t>노르웨이 (오슬로)</t>
        </is>
      </c>
      <c r="I257" s="38" t="inlineStr">
        <is>
          <t>오슬로항 (Port of Oslo) (NOOSL)</t>
        </is>
      </c>
      <c r="J257" s="49" t="n">
        <v>0</v>
      </c>
      <c r="K257" s="49" t="n">
        <v>0</v>
      </c>
      <c r="L257" s="37" t="inlineStr">
        <is>
          <t>N</t>
        </is>
      </c>
      <c r="M257" s="38" t="inlineStr">
        <is>
          <t>노르웨이 공산품 무관세 (한-EFTA 등)</t>
        </is>
      </c>
      <c r="N257" s="49" t="n">
        <v>0</v>
      </c>
      <c r="O257" s="50">
        <f>IF(L257="Y",K257,J257)+N257</f>
        <v/>
      </c>
      <c r="P257" s="38" t="inlineStr">
        <is>
          <t>오슬로항(NOOSL) 통관: 노르웨이 관세청(Tolltariffen) 철강·합성수지 전 품목 MFN 0% 무관세</t>
        </is>
      </c>
    </row>
    <row r="258" ht="15" customHeight="1" s="32">
      <c r="A258" s="43" t="inlineStr">
        <is>
          <t>HIPS</t>
        </is>
      </c>
      <c r="B258" s="43" t="inlineStr">
        <is>
          <t>Resin</t>
        </is>
      </c>
      <c r="C258" s="45" t="inlineStr">
        <is>
          <t>HIPS (내충격성 폴리스티렌)</t>
        </is>
      </c>
      <c r="D258" s="43" t="inlineStr">
        <is>
          <t>HS 3903.19</t>
        </is>
      </c>
      <c r="E258" s="43" t="inlineStr">
        <is>
          <t>IN</t>
        </is>
      </c>
      <c r="F258" s="44" t="inlineStr">
        <is>
          <t>인도</t>
        </is>
      </c>
      <c r="G258" s="43" t="inlineStr">
        <is>
          <t>KR</t>
        </is>
      </c>
      <c r="H258" s="44" t="inlineStr">
        <is>
          <t>한국 (부산)</t>
        </is>
      </c>
      <c r="I258" s="44" t="inlineStr">
        <is>
          <t>부산항 (Port of Busan) (KRPUS)</t>
        </is>
      </c>
      <c r="J258" s="51" t="n">
        <v>0.065</v>
      </c>
      <c r="K258" s="51" t="n">
        <v>0</v>
      </c>
      <c r="L258" s="43" t="inlineStr">
        <is>
          <t>Y</t>
        </is>
      </c>
      <c r="M258" s="44" t="inlineStr">
        <is>
          <t>한-인도 CEPA</t>
        </is>
      </c>
      <c r="N258" s="51" t="n">
        <v>0</v>
      </c>
      <c r="O258" s="52">
        <f>IF(L258="Y",K258,J258)+N258</f>
        <v/>
      </c>
      <c r="P258" s="44" t="inlineStr">
        <is>
          <t>부산항 통관: 한-인도 CEPA 0% 양허</t>
        </is>
      </c>
    </row>
    <row r="259" ht="15" customHeight="1" s="32">
      <c r="A259" s="37" t="inlineStr">
        <is>
          <t>HIPS</t>
        </is>
      </c>
      <c r="B259" s="37" t="inlineStr">
        <is>
          <t>Resin</t>
        </is>
      </c>
      <c r="C259" s="39" t="inlineStr">
        <is>
          <t>HIPS (내충격성 폴리스티렌)</t>
        </is>
      </c>
      <c r="D259" s="37" t="inlineStr">
        <is>
          <t>HS 3903.19</t>
        </is>
      </c>
      <c r="E259" s="37" t="inlineStr">
        <is>
          <t>IN</t>
        </is>
      </c>
      <c r="F259" s="38" t="inlineStr">
        <is>
          <t>인도</t>
        </is>
      </c>
      <c r="G259" s="37" t="inlineStr">
        <is>
          <t>CN</t>
        </is>
      </c>
      <c r="H259" s="38" t="inlineStr">
        <is>
          <t>중국 (천진)</t>
        </is>
      </c>
      <c r="I259" s="38" t="inlineStr">
        <is>
          <t>천진 신강항 (Tianjin Xingang) (CNTSN)</t>
        </is>
      </c>
      <c r="J259" s="49" t="n">
        <v>0.065</v>
      </c>
      <c r="K259" s="49" t="n">
        <v>0.065</v>
      </c>
      <c r="L259" s="37" t="inlineStr">
        <is>
          <t>N</t>
        </is>
      </c>
      <c r="M259" s="39" t="inlineStr">
        <is>
          <t>-</t>
        </is>
      </c>
      <c r="N259" s="49" t="n">
        <v>0</v>
      </c>
      <c r="O259" s="50">
        <f>IF(L259="Y",K259,J259)+N259</f>
        <v/>
      </c>
      <c r="P259" s="39" t="inlineStr">
        <is>
          <t>WTO/WITS 일반 MFN 세율 적용</t>
        </is>
      </c>
    </row>
    <row r="260" ht="15" customHeight="1" s="32">
      <c r="A260" s="43" t="inlineStr">
        <is>
          <t>HIPS</t>
        </is>
      </c>
      <c r="B260" s="43" t="inlineStr">
        <is>
          <t>Resin</t>
        </is>
      </c>
      <c r="C260" s="45" t="inlineStr">
        <is>
          <t>HIPS (내충격성 폴리스티렌)</t>
        </is>
      </c>
      <c r="D260" s="43" t="inlineStr">
        <is>
          <t>HS 3903.19</t>
        </is>
      </c>
      <c r="E260" s="43" t="inlineStr">
        <is>
          <t>IN</t>
        </is>
      </c>
      <c r="F260" s="44" t="inlineStr">
        <is>
          <t>인도</t>
        </is>
      </c>
      <c r="G260" s="43" t="inlineStr">
        <is>
          <t>IN_NOI</t>
        </is>
      </c>
      <c r="H260" s="44" t="inlineStr">
        <is>
          <t>인도 (노이다)</t>
        </is>
      </c>
      <c r="I260" s="44" t="inlineStr">
        <is>
          <t>문드라항 (Mundra) + ICD 다드리 (INMUN-&gt;INDAD)</t>
        </is>
      </c>
      <c r="J260" s="51" t="n">
        <v>0</v>
      </c>
      <c r="K260" s="51" t="n">
        <v>0</v>
      </c>
      <c r="L260" s="43" t="inlineStr">
        <is>
          <t>N</t>
        </is>
      </c>
      <c r="M260" s="44" t="inlineStr">
        <is>
          <t>내수 조달 (관세 없음)</t>
        </is>
      </c>
      <c r="N260" s="51" t="n">
        <v>0</v>
      </c>
      <c r="O260" s="52">
        <f>IF(L260="Y",K260,J260)+N260</f>
        <v/>
      </c>
      <c r="P260" s="44" t="inlineStr">
        <is>
          <t>동일 국가 내 조달 (노이다 (Noida, Delhi NCR) 직송, 수입관세 면제)</t>
        </is>
      </c>
    </row>
    <row r="261" ht="15" customHeight="1" s="32">
      <c r="A261" s="37" t="inlineStr">
        <is>
          <t>HIPS</t>
        </is>
      </c>
      <c r="B261" s="37" t="inlineStr">
        <is>
          <t>Resin</t>
        </is>
      </c>
      <c r="C261" s="39" t="inlineStr">
        <is>
          <t>HIPS (내충격성 폴리스티렌)</t>
        </is>
      </c>
      <c r="D261" s="37" t="inlineStr">
        <is>
          <t>HS 3903.19</t>
        </is>
      </c>
      <c r="E261" s="37" t="inlineStr">
        <is>
          <t>IN</t>
        </is>
      </c>
      <c r="F261" s="38" t="inlineStr">
        <is>
          <t>인도</t>
        </is>
      </c>
      <c r="G261" s="37" t="inlineStr">
        <is>
          <t>IN_PUN</t>
        </is>
      </c>
      <c r="H261" s="38" t="inlineStr">
        <is>
          <t>인도 (푸네)</t>
        </is>
      </c>
      <c r="I261" s="38" t="inlineStr">
        <is>
          <t>나바셰바항 (JNPT Mumbai) (INNSA)</t>
        </is>
      </c>
      <c r="J261" s="49" t="n">
        <v>0</v>
      </c>
      <c r="K261" s="49" t="n">
        <v>0</v>
      </c>
      <c r="L261" s="37" t="inlineStr">
        <is>
          <t>N</t>
        </is>
      </c>
      <c r="M261" s="38" t="inlineStr">
        <is>
          <t>내수 조달 (관세 없음)</t>
        </is>
      </c>
      <c r="N261" s="49" t="n">
        <v>0</v>
      </c>
      <c r="O261" s="50">
        <f>IF(L261="Y",K261,J261)+N261</f>
        <v/>
      </c>
      <c r="P261" s="38" t="inlineStr">
        <is>
          <t>동일 국가 내 조달 (푸네 (Pune, Maharashtra) 직송, 수입관세 면제)</t>
        </is>
      </c>
    </row>
    <row r="262" ht="15" customHeight="1" s="32">
      <c r="A262" s="43" t="inlineStr">
        <is>
          <t>HIPS</t>
        </is>
      </c>
      <c r="B262" s="43" t="inlineStr">
        <is>
          <t>Resin</t>
        </is>
      </c>
      <c r="C262" s="45" t="inlineStr">
        <is>
          <t>HIPS (내충격성 폴리스티렌)</t>
        </is>
      </c>
      <c r="D262" s="43" t="inlineStr">
        <is>
          <t>HS 3903.19</t>
        </is>
      </c>
      <c r="E262" s="43" t="inlineStr">
        <is>
          <t>IN</t>
        </is>
      </c>
      <c r="F262" s="44" t="inlineStr">
        <is>
          <t>인도</t>
        </is>
      </c>
      <c r="G262" s="43" t="inlineStr">
        <is>
          <t>TH</t>
        </is>
      </c>
      <c r="H262" s="44" t="inlineStr">
        <is>
          <t>태국 (람차방)</t>
        </is>
      </c>
      <c r="I262" s="44" t="inlineStr">
        <is>
          <t>람차방항 (Laem Chabang) (THLCH)</t>
        </is>
      </c>
      <c r="J262" s="51" t="n">
        <v>0.05</v>
      </c>
      <c r="K262" s="51" t="n">
        <v>0</v>
      </c>
      <c r="L262" s="43" t="inlineStr">
        <is>
          <t>Y</t>
        </is>
      </c>
      <c r="M262" s="45" t="inlineStr">
        <is>
          <t>ASEAN-인도 FTA</t>
        </is>
      </c>
      <c r="N262" s="51" t="n">
        <v>0</v>
      </c>
      <c r="O262" s="52">
        <f>IF(L262="Y",K262,J262)+N262</f>
        <v/>
      </c>
      <c r="P262" s="44" t="inlineStr">
        <is>
          <t>람차방항 통관: 아세안 역외 FTA 합성수지 0% 양허</t>
        </is>
      </c>
    </row>
    <row r="263" ht="15" customHeight="1" s="32">
      <c r="A263" s="37" t="inlineStr">
        <is>
          <t>HIPS</t>
        </is>
      </c>
      <c r="B263" s="37" t="inlineStr">
        <is>
          <t>Resin</t>
        </is>
      </c>
      <c r="C263" s="39" t="inlineStr">
        <is>
          <t>HIPS (내충격성 폴리스티렌)</t>
        </is>
      </c>
      <c r="D263" s="37" t="inlineStr">
        <is>
          <t>HS 3903.19</t>
        </is>
      </c>
      <c r="E263" s="37" t="inlineStr">
        <is>
          <t>IN</t>
        </is>
      </c>
      <c r="F263" s="38" t="inlineStr">
        <is>
          <t>인도</t>
        </is>
      </c>
      <c r="G263" s="37" t="inlineStr">
        <is>
          <t>ID</t>
        </is>
      </c>
      <c r="H263" s="38" t="inlineStr">
        <is>
          <t>인니 (자카르타)</t>
        </is>
      </c>
      <c r="I263" s="38" t="inlineStr">
        <is>
          <t>탄중프리옥항 (Tanjung Priok) (IDJKT)</t>
        </is>
      </c>
      <c r="J263" s="49" t="n">
        <v>0.1</v>
      </c>
      <c r="K263" s="49" t="n">
        <v>0.05</v>
      </c>
      <c r="L263" s="37" t="inlineStr">
        <is>
          <t>Y</t>
        </is>
      </c>
      <c r="M263" s="38" t="inlineStr">
        <is>
          <t>인도-ASEAN FTA</t>
        </is>
      </c>
      <c r="N263" s="49" t="n">
        <v>0</v>
      </c>
      <c r="O263" s="50">
        <f>IF(L263="Y",K263,J263)+N263</f>
        <v/>
      </c>
      <c r="P263" s="38" t="inlineStr">
        <is>
          <t>탄중프리옥항 통관: 인도-아세안 FTA 양허세율 적용</t>
        </is>
      </c>
    </row>
    <row r="264" ht="15" customHeight="1" s="32">
      <c r="A264" s="43" t="inlineStr">
        <is>
          <t>HIPS</t>
        </is>
      </c>
      <c r="B264" s="43" t="inlineStr">
        <is>
          <t>Resin</t>
        </is>
      </c>
      <c r="C264" s="45" t="inlineStr">
        <is>
          <t>HIPS (내충격성 폴리스티렌)</t>
        </is>
      </c>
      <c r="D264" s="43" t="inlineStr">
        <is>
          <t>HS 3903.19</t>
        </is>
      </c>
      <c r="E264" s="43" t="inlineStr">
        <is>
          <t>IN</t>
        </is>
      </c>
      <c r="F264" s="44" t="inlineStr">
        <is>
          <t>인도</t>
        </is>
      </c>
      <c r="G264" s="43" t="inlineStr">
        <is>
          <t>SA</t>
        </is>
      </c>
      <c r="H264" s="44" t="inlineStr">
        <is>
          <t>사우디 (제다)</t>
        </is>
      </c>
      <c r="I264" s="44" t="inlineStr">
        <is>
          <t>제다 이슬람항 (Jeddah Islamic Port) (SAJED)</t>
        </is>
      </c>
      <c r="J264" s="51" t="n">
        <v>0.05</v>
      </c>
      <c r="K264" s="51" t="n">
        <v>0.05</v>
      </c>
      <c r="L264" s="43" t="inlineStr">
        <is>
          <t>N</t>
        </is>
      </c>
      <c r="M264" s="45" t="inlineStr">
        <is>
          <t>-</t>
        </is>
      </c>
      <c r="N264" s="51" t="n">
        <v>0</v>
      </c>
      <c r="O264" s="52">
        <f>IF(L264="Y",K264,J264)+N264</f>
        <v/>
      </c>
      <c r="P264" s="44" t="inlineStr">
        <is>
          <t>제다 이슬람항 통관: GCC 공동관세율(CET) 기본 5.0% 적용</t>
        </is>
      </c>
    </row>
    <row r="265" ht="15" customHeight="1" s="32">
      <c r="A265" s="37" t="inlineStr">
        <is>
          <t>HIPS</t>
        </is>
      </c>
      <c r="B265" s="37" t="inlineStr">
        <is>
          <t>Resin</t>
        </is>
      </c>
      <c r="C265" s="39" t="inlineStr">
        <is>
          <t>HIPS (내충격성 폴리스티렌)</t>
        </is>
      </c>
      <c r="D265" s="37" t="inlineStr">
        <is>
          <t>HS 3903.19</t>
        </is>
      </c>
      <c r="E265" s="37" t="inlineStr">
        <is>
          <t>IN</t>
        </is>
      </c>
      <c r="F265" s="38" t="inlineStr">
        <is>
          <t>인도</t>
        </is>
      </c>
      <c r="G265" s="37" t="inlineStr">
        <is>
          <t>BR</t>
        </is>
      </c>
      <c r="H265" s="38" t="inlineStr">
        <is>
          <t>브라질 (마나우스)</t>
        </is>
      </c>
      <c r="I265" s="38" t="inlineStr">
        <is>
          <t>마나우스항 (Porto de Manaus / Chibatao) (BRMAO)</t>
        </is>
      </c>
      <c r="J265" s="49" t="n">
        <v>0.126</v>
      </c>
      <c r="K265" s="49" t="n">
        <v>0.126</v>
      </c>
      <c r="L265" s="37" t="inlineStr">
        <is>
          <t>N</t>
        </is>
      </c>
      <c r="M265" s="39" t="inlineStr">
        <is>
          <t>-</t>
        </is>
      </c>
      <c r="N265" s="49" t="n">
        <v>0</v>
      </c>
      <c r="O265" s="50">
        <f>IF(L265="Y",K265,J265)+N265</f>
        <v/>
      </c>
      <c r="P265" s="38" t="inlineStr">
        <is>
          <t>마나우스항 통관: Mercosur TEC 12.6% (마나우스 ZFM 88% 감면 시 1.51%)</t>
        </is>
      </c>
    </row>
    <row r="266" ht="15" customHeight="1" s="32">
      <c r="A266" s="43" t="inlineStr">
        <is>
          <t>HIPS</t>
        </is>
      </c>
      <c r="B266" s="43" t="inlineStr">
        <is>
          <t>Resin</t>
        </is>
      </c>
      <c r="C266" s="45" t="inlineStr">
        <is>
          <t>HIPS (내충격성 폴리스티렌)</t>
        </is>
      </c>
      <c r="D266" s="43" t="inlineStr">
        <is>
          <t>HS 3903.19</t>
        </is>
      </c>
      <c r="E266" s="43" t="inlineStr">
        <is>
          <t>IN</t>
        </is>
      </c>
      <c r="F266" s="44" t="inlineStr">
        <is>
          <t>인도</t>
        </is>
      </c>
      <c r="G266" s="43" t="inlineStr">
        <is>
          <t>EG</t>
        </is>
      </c>
      <c r="H266" s="44" t="inlineStr">
        <is>
          <t>이집트 (카이로)</t>
        </is>
      </c>
      <c r="I266" s="44" t="inlineStr">
        <is>
          <t>아인소크나항 (Ain Sokhna) / 알렉산드리아항 (EGSOK / EGALY)</t>
        </is>
      </c>
      <c r="J266" s="51" t="n">
        <v>0.05</v>
      </c>
      <c r="K266" s="51" t="n">
        <v>0.05</v>
      </c>
      <c r="L266" s="43" t="inlineStr">
        <is>
          <t>N</t>
        </is>
      </c>
      <c r="M266" s="45" t="inlineStr">
        <is>
          <t>-</t>
        </is>
      </c>
      <c r="N266" s="51" t="n">
        <v>0</v>
      </c>
      <c r="O266" s="52">
        <f>IF(L266="Y",K266,J266)+N266</f>
        <v/>
      </c>
      <c r="P266" s="44" t="inlineStr">
        <is>
          <t>아인소크나항(EGSOK)-&gt;카이로: 이집트 합성수지(HS 3902/3903) MFN 기본관세 5.0% 적용</t>
        </is>
      </c>
    </row>
    <row r="267" ht="15" customHeight="1" s="32">
      <c r="A267" s="37" t="inlineStr">
        <is>
          <t>HIPS</t>
        </is>
      </c>
      <c r="B267" s="37" t="inlineStr">
        <is>
          <t>Resin</t>
        </is>
      </c>
      <c r="C267" s="39" t="inlineStr">
        <is>
          <t>HIPS (내충격성 폴리스티렌)</t>
        </is>
      </c>
      <c r="D267" s="37" t="inlineStr">
        <is>
          <t>HS 3903.19</t>
        </is>
      </c>
      <c r="E267" s="37" t="inlineStr">
        <is>
          <t>IN</t>
        </is>
      </c>
      <c r="F267" s="38" t="inlineStr">
        <is>
          <t>인도</t>
        </is>
      </c>
      <c r="G267" s="37" t="inlineStr">
        <is>
          <t>US</t>
        </is>
      </c>
      <c r="H267" s="38" t="inlineStr">
        <is>
          <t>미국 (클락스빌)</t>
        </is>
      </c>
      <c r="I267" s="38" t="inlineStr">
        <is>
          <t>서배너항 (Savannah) / 찰스턴항 + 철도Ramp (USSAV / USCHS)</t>
        </is>
      </c>
      <c r="J267" s="49" t="n">
        <v>0.065</v>
      </c>
      <c r="K267" s="49" t="n">
        <v>0.065</v>
      </c>
      <c r="L267" s="37" t="inlineStr">
        <is>
          <t>N</t>
        </is>
      </c>
      <c r="M267" s="39" t="inlineStr">
        <is>
          <t>-</t>
        </is>
      </c>
      <c r="N267" s="49" t="n">
        <v>0.1</v>
      </c>
      <c r="O267" s="50">
        <f>IF(L267="Y",K267,J267)+N267</f>
        <v/>
      </c>
      <c r="P267" s="38" t="inlineStr">
        <is>
          <t>서배너항-&gt;클락스빌: MFN 6.5% + 2026.7 미국 301조(인도산 +10.0%p) 합산 16.5%</t>
        </is>
      </c>
    </row>
    <row r="268" ht="15" customHeight="1" s="32">
      <c r="A268" s="43" t="inlineStr">
        <is>
          <t>HIPS</t>
        </is>
      </c>
      <c r="B268" s="43" t="inlineStr">
        <is>
          <t>Resin</t>
        </is>
      </c>
      <c r="C268" s="45" t="inlineStr">
        <is>
          <t>HIPS (내충격성 폴리스티렌)</t>
        </is>
      </c>
      <c r="D268" s="43" t="inlineStr">
        <is>
          <t>HS 3903.19</t>
        </is>
      </c>
      <c r="E268" s="43" t="inlineStr">
        <is>
          <t>IN</t>
        </is>
      </c>
      <c r="F268" s="44" t="inlineStr">
        <is>
          <t>인도</t>
        </is>
      </c>
      <c r="G268" s="43" t="inlineStr">
        <is>
          <t>NO</t>
        </is>
      </c>
      <c r="H268" s="44" t="inlineStr">
        <is>
          <t>노르웨이 (오슬로)</t>
        </is>
      </c>
      <c r="I268" s="44" t="inlineStr">
        <is>
          <t>오슬로항 (Port of Oslo) (NOOSL)</t>
        </is>
      </c>
      <c r="J268" s="51" t="n">
        <v>0</v>
      </c>
      <c r="K268" s="51" t="n">
        <v>0</v>
      </c>
      <c r="L268" s="43" t="inlineStr">
        <is>
          <t>N</t>
        </is>
      </c>
      <c r="M268" s="44" t="inlineStr">
        <is>
          <t>노르웨이 공산품 무관세 (한-EFTA 등)</t>
        </is>
      </c>
      <c r="N268" s="51" t="n">
        <v>0</v>
      </c>
      <c r="O268" s="52">
        <f>IF(L268="Y",K268,J268)+N268</f>
        <v/>
      </c>
      <c r="P268" s="44" t="inlineStr">
        <is>
          <t>오슬로항(NOOSL) 통관: 노르웨이 관세청(Tolltariffen) 철강·합성수지 전 품목 MFN 0% 무관세</t>
        </is>
      </c>
    </row>
    <row r="269" ht="15" customHeight="1" s="32">
      <c r="A269" s="37" t="inlineStr">
        <is>
          <t>HIPS</t>
        </is>
      </c>
      <c r="B269" s="37" t="inlineStr">
        <is>
          <t>Resin</t>
        </is>
      </c>
      <c r="C269" s="39" t="inlineStr">
        <is>
          <t>HIPS (내충격성 폴리스티렌)</t>
        </is>
      </c>
      <c r="D269" s="37" t="inlineStr">
        <is>
          <t>HS 3903.19</t>
        </is>
      </c>
      <c r="E269" s="37" t="inlineStr">
        <is>
          <t>US</t>
        </is>
      </c>
      <c r="F269" s="38" t="inlineStr">
        <is>
          <t>미국</t>
        </is>
      </c>
      <c r="G269" s="37" t="inlineStr">
        <is>
          <t>KR</t>
        </is>
      </c>
      <c r="H269" s="38" t="inlineStr">
        <is>
          <t>한국 (부산)</t>
        </is>
      </c>
      <c r="I269" s="38" t="inlineStr">
        <is>
          <t>부산항 (Port of Busan) (KRPUS)</t>
        </is>
      </c>
      <c r="J269" s="49" t="n">
        <v>0.065</v>
      </c>
      <c r="K269" s="49" t="n">
        <v>0</v>
      </c>
      <c r="L269" s="37" t="inlineStr">
        <is>
          <t>Y</t>
        </is>
      </c>
      <c r="M269" s="38" t="inlineStr">
        <is>
          <t>한-미 FTA (KORUS)</t>
        </is>
      </c>
      <c r="N269" s="49" t="n">
        <v>0</v>
      </c>
      <c r="O269" s="50">
        <f>IF(L269="Y",K269,J269)+N269</f>
        <v/>
      </c>
      <c r="P269" s="38" t="inlineStr">
        <is>
          <t>부산항 통관: KORUS 협정세율 0% 적용</t>
        </is>
      </c>
    </row>
    <row r="270" ht="15" customHeight="1" s="32">
      <c r="A270" s="43" t="inlineStr">
        <is>
          <t>HIPS</t>
        </is>
      </c>
      <c r="B270" s="43" t="inlineStr">
        <is>
          <t>Resin</t>
        </is>
      </c>
      <c r="C270" s="45" t="inlineStr">
        <is>
          <t>HIPS (내충격성 폴리스티렌)</t>
        </is>
      </c>
      <c r="D270" s="43" t="inlineStr">
        <is>
          <t>HS 3903.19</t>
        </is>
      </c>
      <c r="E270" s="43" t="inlineStr">
        <is>
          <t>US</t>
        </is>
      </c>
      <c r="F270" s="44" t="inlineStr">
        <is>
          <t>미국</t>
        </is>
      </c>
      <c r="G270" s="43" t="inlineStr">
        <is>
          <t>CN</t>
        </is>
      </c>
      <c r="H270" s="44" t="inlineStr">
        <is>
          <t>중국 (천진)</t>
        </is>
      </c>
      <c r="I270" s="44" t="inlineStr">
        <is>
          <t>천진 신강항 (Tianjin Xingang) (CNTSN)</t>
        </is>
      </c>
      <c r="J270" s="51" t="n">
        <v>0.065</v>
      </c>
      <c r="K270" s="51" t="n">
        <v>0.065</v>
      </c>
      <c r="L270" s="43" t="inlineStr">
        <is>
          <t>N</t>
        </is>
      </c>
      <c r="M270" s="45" t="inlineStr">
        <is>
          <t>-</t>
        </is>
      </c>
      <c r="N270" s="51" t="n">
        <v>0.25</v>
      </c>
      <c r="O270" s="52">
        <f>IF(L270="Y",K270,J270)+N270</f>
        <v/>
      </c>
      <c r="P270" s="44" t="inlineStr">
        <is>
          <t>천진 신강항 통관: 미·중 통상분쟁 보복관세 반영</t>
        </is>
      </c>
    </row>
    <row r="271" ht="15" customHeight="1" s="32">
      <c r="A271" s="37" t="inlineStr">
        <is>
          <t>HIPS</t>
        </is>
      </c>
      <c r="B271" s="37" t="inlineStr">
        <is>
          <t>Resin</t>
        </is>
      </c>
      <c r="C271" s="39" t="inlineStr">
        <is>
          <t>HIPS (내충격성 폴리스티렌)</t>
        </is>
      </c>
      <c r="D271" s="37" t="inlineStr">
        <is>
          <t>HS 3903.19</t>
        </is>
      </c>
      <c r="E271" s="37" t="inlineStr">
        <is>
          <t>US</t>
        </is>
      </c>
      <c r="F271" s="38" t="inlineStr">
        <is>
          <t>미국</t>
        </is>
      </c>
      <c r="G271" s="37" t="inlineStr">
        <is>
          <t>IN_NOI</t>
        </is>
      </c>
      <c r="H271" s="38" t="inlineStr">
        <is>
          <t>인도 (노이다)</t>
        </is>
      </c>
      <c r="I271" s="38" t="inlineStr">
        <is>
          <t>문드라항 (Mundra) + ICD 다드리 (INMUN-&gt;INDAD)</t>
        </is>
      </c>
      <c r="J271" s="49" t="n">
        <v>0.0825</v>
      </c>
      <c r="K271" s="49" t="n">
        <v>0.0825</v>
      </c>
      <c r="L271" s="37" t="inlineStr">
        <is>
          <t>N</t>
        </is>
      </c>
      <c r="M271" s="39" t="inlineStr">
        <is>
          <t>-</t>
        </is>
      </c>
      <c r="N271" s="49" t="n">
        <v>0</v>
      </c>
      <c r="O271" s="50">
        <f>IF(L271="Y",K271,J271)+N271</f>
        <v/>
      </c>
      <c r="P271" s="39" t="inlineStr">
        <is>
          <t>WTO/WITS 일반 MFN 세율 적용</t>
        </is>
      </c>
    </row>
    <row r="272" ht="15" customHeight="1" s="32">
      <c r="A272" s="43" t="inlineStr">
        <is>
          <t>HIPS</t>
        </is>
      </c>
      <c r="B272" s="43" t="inlineStr">
        <is>
          <t>Resin</t>
        </is>
      </c>
      <c r="C272" s="45" t="inlineStr">
        <is>
          <t>HIPS (내충격성 폴리스티렌)</t>
        </is>
      </c>
      <c r="D272" s="43" t="inlineStr">
        <is>
          <t>HS 3903.19</t>
        </is>
      </c>
      <c r="E272" s="43" t="inlineStr">
        <is>
          <t>US</t>
        </is>
      </c>
      <c r="F272" s="44" t="inlineStr">
        <is>
          <t>미국</t>
        </is>
      </c>
      <c r="G272" s="43" t="inlineStr">
        <is>
          <t>IN_PUN</t>
        </is>
      </c>
      <c r="H272" s="44" t="inlineStr">
        <is>
          <t>인도 (푸네)</t>
        </is>
      </c>
      <c r="I272" s="44" t="inlineStr">
        <is>
          <t>나바셰바항 (JNPT Mumbai) (INNSA)</t>
        </is>
      </c>
      <c r="J272" s="51" t="n">
        <v>0.0825</v>
      </c>
      <c r="K272" s="51" t="n">
        <v>0.0825</v>
      </c>
      <c r="L272" s="43" t="inlineStr">
        <is>
          <t>N</t>
        </is>
      </c>
      <c r="M272" s="45" t="inlineStr">
        <is>
          <t>-</t>
        </is>
      </c>
      <c r="N272" s="51" t="n">
        <v>0</v>
      </c>
      <c r="O272" s="52">
        <f>IF(L272="Y",K272,J272)+N272</f>
        <v/>
      </c>
      <c r="P272" s="45" t="inlineStr">
        <is>
          <t>WTO/WITS 일반 MFN 세율 적용</t>
        </is>
      </c>
    </row>
    <row r="273" ht="15" customHeight="1" s="32">
      <c r="A273" s="37" t="inlineStr">
        <is>
          <t>HIPS</t>
        </is>
      </c>
      <c r="B273" s="37" t="inlineStr">
        <is>
          <t>Resin</t>
        </is>
      </c>
      <c r="C273" s="39" t="inlineStr">
        <is>
          <t>HIPS (내충격성 폴리스티렌)</t>
        </is>
      </c>
      <c r="D273" s="37" t="inlineStr">
        <is>
          <t>HS 3903.19</t>
        </is>
      </c>
      <c r="E273" s="37" t="inlineStr">
        <is>
          <t>US</t>
        </is>
      </c>
      <c r="F273" s="38" t="inlineStr">
        <is>
          <t>미국</t>
        </is>
      </c>
      <c r="G273" s="37" t="inlineStr">
        <is>
          <t>TH</t>
        </is>
      </c>
      <c r="H273" s="38" t="inlineStr">
        <is>
          <t>태국 (람차방)</t>
        </is>
      </c>
      <c r="I273" s="38" t="inlineStr">
        <is>
          <t>람차방항 (Laem Chabang) (THLCH)</t>
        </is>
      </c>
      <c r="J273" s="49" t="n">
        <v>0.05</v>
      </c>
      <c r="K273" s="49" t="n">
        <v>0.05</v>
      </c>
      <c r="L273" s="37" t="inlineStr">
        <is>
          <t>N</t>
        </is>
      </c>
      <c r="M273" s="39" t="inlineStr">
        <is>
          <t>-</t>
        </is>
      </c>
      <c r="N273" s="49" t="n">
        <v>0</v>
      </c>
      <c r="O273" s="50">
        <f>IF(L273="Y",K273,J273)+N273</f>
        <v/>
      </c>
      <c r="P273" s="39" t="inlineStr">
        <is>
          <t>WTO/WITS 일반 MFN 세율 적용</t>
        </is>
      </c>
    </row>
    <row r="274" ht="15" customHeight="1" s="32">
      <c r="A274" s="43" t="inlineStr">
        <is>
          <t>HIPS</t>
        </is>
      </c>
      <c r="B274" s="43" t="inlineStr">
        <is>
          <t>Resin</t>
        </is>
      </c>
      <c r="C274" s="45" t="inlineStr">
        <is>
          <t>HIPS (내충격성 폴리스티렌)</t>
        </is>
      </c>
      <c r="D274" s="43" t="inlineStr">
        <is>
          <t>HS 3903.19</t>
        </is>
      </c>
      <c r="E274" s="43" t="inlineStr">
        <is>
          <t>US</t>
        </is>
      </c>
      <c r="F274" s="44" t="inlineStr">
        <is>
          <t>미국</t>
        </is>
      </c>
      <c r="G274" s="43" t="inlineStr">
        <is>
          <t>ID</t>
        </is>
      </c>
      <c r="H274" s="44" t="inlineStr">
        <is>
          <t>인니 (자카르타)</t>
        </is>
      </c>
      <c r="I274" s="44" t="inlineStr">
        <is>
          <t>탄중프리옥항 (Tanjung Priok) (IDJKT)</t>
        </is>
      </c>
      <c r="J274" s="51" t="n">
        <v>0.1</v>
      </c>
      <c r="K274" s="51" t="n">
        <v>0.1</v>
      </c>
      <c r="L274" s="43" t="inlineStr">
        <is>
          <t>N</t>
        </is>
      </c>
      <c r="M274" s="45" t="inlineStr">
        <is>
          <t>-</t>
        </is>
      </c>
      <c r="N274" s="51" t="n">
        <v>0</v>
      </c>
      <c r="O274" s="52">
        <f>IF(L274="Y",K274,J274)+N274</f>
        <v/>
      </c>
      <c r="P274" s="45" t="inlineStr">
        <is>
          <t>WTO/WITS 일반 MFN 세율 적용</t>
        </is>
      </c>
    </row>
    <row r="275" ht="15" customHeight="1" s="32">
      <c r="A275" s="37" t="inlineStr">
        <is>
          <t>HIPS</t>
        </is>
      </c>
      <c r="B275" s="37" t="inlineStr">
        <is>
          <t>Resin</t>
        </is>
      </c>
      <c r="C275" s="39" t="inlineStr">
        <is>
          <t>HIPS (내충격성 폴리스티렌)</t>
        </is>
      </c>
      <c r="D275" s="37" t="inlineStr">
        <is>
          <t>HS 3903.19</t>
        </is>
      </c>
      <c r="E275" s="37" t="inlineStr">
        <is>
          <t>US</t>
        </is>
      </c>
      <c r="F275" s="38" t="inlineStr">
        <is>
          <t>미국</t>
        </is>
      </c>
      <c r="G275" s="37" t="inlineStr">
        <is>
          <t>SA</t>
        </is>
      </c>
      <c r="H275" s="38" t="inlineStr">
        <is>
          <t>사우디 (제다)</t>
        </is>
      </c>
      <c r="I275" s="38" t="inlineStr">
        <is>
          <t>제다 이슬람항 (Jeddah Islamic Port) (SAJED)</t>
        </is>
      </c>
      <c r="J275" s="49" t="n">
        <v>0.05</v>
      </c>
      <c r="K275" s="49" t="n">
        <v>0.05</v>
      </c>
      <c r="L275" s="37" t="inlineStr">
        <is>
          <t>N</t>
        </is>
      </c>
      <c r="M275" s="39" t="inlineStr">
        <is>
          <t>-</t>
        </is>
      </c>
      <c r="N275" s="49" t="n">
        <v>0</v>
      </c>
      <c r="O275" s="50">
        <f>IF(L275="Y",K275,J275)+N275</f>
        <v/>
      </c>
      <c r="P275" s="38" t="inlineStr">
        <is>
          <t>제다 이슬람항 통관: GCC 공동관세율(CET) 기본 5.0% 적용</t>
        </is>
      </c>
    </row>
    <row r="276" ht="15" customHeight="1" s="32">
      <c r="A276" s="43" t="inlineStr">
        <is>
          <t>HIPS</t>
        </is>
      </c>
      <c r="B276" s="43" t="inlineStr">
        <is>
          <t>Resin</t>
        </is>
      </c>
      <c r="C276" s="45" t="inlineStr">
        <is>
          <t>HIPS (내충격성 폴리스티렌)</t>
        </is>
      </c>
      <c r="D276" s="43" t="inlineStr">
        <is>
          <t>HS 3903.19</t>
        </is>
      </c>
      <c r="E276" s="43" t="inlineStr">
        <is>
          <t>US</t>
        </is>
      </c>
      <c r="F276" s="44" t="inlineStr">
        <is>
          <t>미국</t>
        </is>
      </c>
      <c r="G276" s="43" t="inlineStr">
        <is>
          <t>BR</t>
        </is>
      </c>
      <c r="H276" s="44" t="inlineStr">
        <is>
          <t>브라질 (마나우스)</t>
        </is>
      </c>
      <c r="I276" s="44" t="inlineStr">
        <is>
          <t>마나우스항 (Porto de Manaus / Chibatao) (BRMAO)</t>
        </is>
      </c>
      <c r="J276" s="51" t="n">
        <v>0.126</v>
      </c>
      <c r="K276" s="51" t="n">
        <v>0.126</v>
      </c>
      <c r="L276" s="43" t="inlineStr">
        <is>
          <t>N</t>
        </is>
      </c>
      <c r="M276" s="45" t="inlineStr">
        <is>
          <t>-</t>
        </is>
      </c>
      <c r="N276" s="51" t="n">
        <v>0</v>
      </c>
      <c r="O276" s="52">
        <f>IF(L276="Y",K276,J276)+N276</f>
        <v/>
      </c>
      <c r="P276" s="44" t="inlineStr">
        <is>
          <t>마나우스항 통관: Mercosur TEC 12.6% (마나우스 ZFM 88% 감면 시 1.51%)</t>
        </is>
      </c>
    </row>
    <row r="277" ht="15" customHeight="1" s="32">
      <c r="A277" s="37" t="inlineStr">
        <is>
          <t>HIPS</t>
        </is>
      </c>
      <c r="B277" s="37" t="inlineStr">
        <is>
          <t>Resin</t>
        </is>
      </c>
      <c r="C277" s="39" t="inlineStr">
        <is>
          <t>HIPS (내충격성 폴리스티렌)</t>
        </is>
      </c>
      <c r="D277" s="37" t="inlineStr">
        <is>
          <t>HS 3903.19</t>
        </is>
      </c>
      <c r="E277" s="37" t="inlineStr">
        <is>
          <t>US</t>
        </is>
      </c>
      <c r="F277" s="38" t="inlineStr">
        <is>
          <t>미국</t>
        </is>
      </c>
      <c r="G277" s="37" t="inlineStr">
        <is>
          <t>EG</t>
        </is>
      </c>
      <c r="H277" s="38" t="inlineStr">
        <is>
          <t>이집트 (카이로)</t>
        </is>
      </c>
      <c r="I277" s="38" t="inlineStr">
        <is>
          <t>아인소크나항 (Ain Sokhna) / 알렉산드리아항 (EGSOK / EGALY)</t>
        </is>
      </c>
      <c r="J277" s="49" t="n">
        <v>0.05</v>
      </c>
      <c r="K277" s="49" t="n">
        <v>0.05</v>
      </c>
      <c r="L277" s="37" t="inlineStr">
        <is>
          <t>N</t>
        </is>
      </c>
      <c r="M277" s="39" t="inlineStr">
        <is>
          <t>-</t>
        </is>
      </c>
      <c r="N277" s="49" t="n">
        <v>0</v>
      </c>
      <c r="O277" s="50">
        <f>IF(L277="Y",K277,J277)+N277</f>
        <v/>
      </c>
      <c r="P277" s="38" t="inlineStr">
        <is>
          <t>알렉산드리아항(EGALY)-&gt;카이로: 이집트 합성수지(HS 3902/3903) MFN 기본관세 5.0% 적용</t>
        </is>
      </c>
    </row>
    <row r="278" ht="15" customHeight="1" s="32">
      <c r="A278" s="43" t="inlineStr">
        <is>
          <t>HIPS</t>
        </is>
      </c>
      <c r="B278" s="43" t="inlineStr">
        <is>
          <t>Resin</t>
        </is>
      </c>
      <c r="C278" s="45" t="inlineStr">
        <is>
          <t>HIPS (내충격성 폴리스티렌)</t>
        </is>
      </c>
      <c r="D278" s="43" t="inlineStr">
        <is>
          <t>HS 3903.19</t>
        </is>
      </c>
      <c r="E278" s="43" t="inlineStr">
        <is>
          <t>US</t>
        </is>
      </c>
      <c r="F278" s="44" t="inlineStr">
        <is>
          <t>미국</t>
        </is>
      </c>
      <c r="G278" s="43" t="inlineStr">
        <is>
          <t>US</t>
        </is>
      </c>
      <c r="H278" s="44" t="inlineStr">
        <is>
          <t>미국 (클락스빌)</t>
        </is>
      </c>
      <c r="I278" s="44" t="inlineStr">
        <is>
          <t>서배너항 (Savannah) / 찰스턴항 + 철도Ramp (USSAV / USCHS)</t>
        </is>
      </c>
      <c r="J278" s="51" t="n">
        <v>0</v>
      </c>
      <c r="K278" s="51" t="n">
        <v>0</v>
      </c>
      <c r="L278" s="43" t="inlineStr">
        <is>
          <t>N</t>
        </is>
      </c>
      <c r="M278" s="44" t="inlineStr">
        <is>
          <t>내수 조달 (관세 없음)</t>
        </is>
      </c>
      <c r="N278" s="51" t="n">
        <v>0</v>
      </c>
      <c r="O278" s="52">
        <f>IF(L278="Y",K278,J278)+N278</f>
        <v/>
      </c>
      <c r="P278" s="44" t="inlineStr">
        <is>
          <t>동일 국가 내 조달 (클락스빌 (Clarksville, TN) 직송, 수입관세 면제)</t>
        </is>
      </c>
    </row>
    <row r="279" ht="15" customHeight="1" s="32">
      <c r="A279" s="37" t="inlineStr">
        <is>
          <t>HIPS</t>
        </is>
      </c>
      <c r="B279" s="37" t="inlineStr">
        <is>
          <t>Resin</t>
        </is>
      </c>
      <c r="C279" s="39" t="inlineStr">
        <is>
          <t>HIPS (내충격성 폴리스티렌)</t>
        </is>
      </c>
      <c r="D279" s="37" t="inlineStr">
        <is>
          <t>HS 3903.19</t>
        </is>
      </c>
      <c r="E279" s="37" t="inlineStr">
        <is>
          <t>US</t>
        </is>
      </c>
      <c r="F279" s="38" t="inlineStr">
        <is>
          <t>미국</t>
        </is>
      </c>
      <c r="G279" s="37" t="inlineStr">
        <is>
          <t>NO</t>
        </is>
      </c>
      <c r="H279" s="38" t="inlineStr">
        <is>
          <t>노르웨이 (오슬로)</t>
        </is>
      </c>
      <c r="I279" s="38" t="inlineStr">
        <is>
          <t>오슬로항 (Port of Oslo) (NOOSL)</t>
        </is>
      </c>
      <c r="J279" s="49" t="n">
        <v>0</v>
      </c>
      <c r="K279" s="49" t="n">
        <v>0</v>
      </c>
      <c r="L279" s="37" t="inlineStr">
        <is>
          <t>N</t>
        </is>
      </c>
      <c r="M279" s="38" t="inlineStr">
        <is>
          <t>노르웨이 공산품 무관세 (한-EFTA 등)</t>
        </is>
      </c>
      <c r="N279" s="49" t="n">
        <v>0</v>
      </c>
      <c r="O279" s="50">
        <f>IF(L279="Y",K279,J279)+N279</f>
        <v/>
      </c>
      <c r="P279" s="38" t="inlineStr">
        <is>
          <t>오슬로항(NOOSL) 통관: 노르웨이 관세청(Tolltariffen) 철강·합성수지 전 품목 MFN 0% 무관세</t>
        </is>
      </c>
    </row>
    <row r="280" ht="15" customHeight="1" s="32">
      <c r="A280" s="43" t="inlineStr">
        <is>
          <t>EPS</t>
        </is>
      </c>
      <c r="B280" s="43" t="inlineStr">
        <is>
          <t>Resin</t>
        </is>
      </c>
      <c r="C280" s="45" t="inlineStr">
        <is>
          <t>EPS (발포 폴리스티렌)</t>
        </is>
      </c>
      <c r="D280" s="43" t="inlineStr">
        <is>
          <t>HS 3903.11</t>
        </is>
      </c>
      <c r="E280" s="43" t="inlineStr">
        <is>
          <t>KR</t>
        </is>
      </c>
      <c r="F280" s="44" t="inlineStr">
        <is>
          <t>한국</t>
        </is>
      </c>
      <c r="G280" s="43" t="inlineStr">
        <is>
          <t>KR</t>
        </is>
      </c>
      <c r="H280" s="44" t="inlineStr">
        <is>
          <t>한국 (부산)</t>
        </is>
      </c>
      <c r="I280" s="44" t="inlineStr">
        <is>
          <t>부산항 (Port of Busan) (KRPUS)</t>
        </is>
      </c>
      <c r="J280" s="51" t="n">
        <v>0</v>
      </c>
      <c r="K280" s="51" t="n">
        <v>0</v>
      </c>
      <c r="L280" s="43" t="inlineStr">
        <is>
          <t>N</t>
        </is>
      </c>
      <c r="M280" s="44" t="inlineStr">
        <is>
          <t>내수 조달 (관세 없음)</t>
        </is>
      </c>
      <c r="N280" s="51" t="n">
        <v>0</v>
      </c>
      <c r="O280" s="52">
        <f>IF(L280="Y",K280,J280)+N280</f>
        <v/>
      </c>
      <c r="P280" s="44" t="inlineStr">
        <is>
          <t>동일 국가 내 조달 (부산 (Busan) 직송, 수입관세 면제)</t>
        </is>
      </c>
    </row>
    <row r="281" ht="15" customHeight="1" s="32">
      <c r="A281" s="37" t="inlineStr">
        <is>
          <t>EPS</t>
        </is>
      </c>
      <c r="B281" s="37" t="inlineStr">
        <is>
          <t>Resin</t>
        </is>
      </c>
      <c r="C281" s="39" t="inlineStr">
        <is>
          <t>EPS (발포 폴리스티렌)</t>
        </is>
      </c>
      <c r="D281" s="37" t="inlineStr">
        <is>
          <t>HS 3903.11</t>
        </is>
      </c>
      <c r="E281" s="37" t="inlineStr">
        <is>
          <t>KR</t>
        </is>
      </c>
      <c r="F281" s="38" t="inlineStr">
        <is>
          <t>한국</t>
        </is>
      </c>
      <c r="G281" s="37" t="inlineStr">
        <is>
          <t>CN</t>
        </is>
      </c>
      <c r="H281" s="38" t="inlineStr">
        <is>
          <t>중국 (천진)</t>
        </is>
      </c>
      <c r="I281" s="38" t="inlineStr">
        <is>
          <t>천진 신강항 (Tianjin Xingang) (CNTSN)</t>
        </is>
      </c>
      <c r="J281" s="49" t="n">
        <v>0.065</v>
      </c>
      <c r="K281" s="49" t="n">
        <v>0</v>
      </c>
      <c r="L281" s="37" t="inlineStr">
        <is>
          <t>Y</t>
        </is>
      </c>
      <c r="M281" s="38" t="inlineStr">
        <is>
          <t>한-중 FTA / RCEP</t>
        </is>
      </c>
      <c r="N281" s="49" t="n">
        <v>0</v>
      </c>
      <c r="O281" s="50">
        <f>IF(L281="Y",K281,J281)+N281</f>
        <v/>
      </c>
      <c r="P281" s="38" t="inlineStr">
        <is>
          <t>천진 신강항 통관: 한-중 FTA/RCEP 양허세율</t>
        </is>
      </c>
    </row>
    <row r="282" ht="15" customHeight="1" s="32">
      <c r="A282" s="43" t="inlineStr">
        <is>
          <t>EPS</t>
        </is>
      </c>
      <c r="B282" s="43" t="inlineStr">
        <is>
          <t>Resin</t>
        </is>
      </c>
      <c r="C282" s="45" t="inlineStr">
        <is>
          <t>EPS (발포 폴리스티렌)</t>
        </is>
      </c>
      <c r="D282" s="43" t="inlineStr">
        <is>
          <t>HS 3903.11</t>
        </is>
      </c>
      <c r="E282" s="43" t="inlineStr">
        <is>
          <t>KR</t>
        </is>
      </c>
      <c r="F282" s="44" t="inlineStr">
        <is>
          <t>한국</t>
        </is>
      </c>
      <c r="G282" s="43" t="inlineStr">
        <is>
          <t>IN_NOI</t>
        </is>
      </c>
      <c r="H282" s="44" t="inlineStr">
        <is>
          <t>인도 (노이다)</t>
        </is>
      </c>
      <c r="I282" s="44" t="inlineStr">
        <is>
          <t>문드라항 (Mundra) + ICD 다드리 (INMUN-&gt;INDAD)</t>
        </is>
      </c>
      <c r="J282" s="51" t="n">
        <v>0.0825</v>
      </c>
      <c r="K282" s="51" t="n">
        <v>0.025</v>
      </c>
      <c r="L282" s="43" t="inlineStr">
        <is>
          <t>Y</t>
        </is>
      </c>
      <c r="M282" s="44" t="inlineStr">
        <is>
          <t>한-인도 CEPA</t>
        </is>
      </c>
      <c r="N282" s="51" t="n">
        <v>0</v>
      </c>
      <c r="O282" s="52">
        <f>IF(L282="Y",K282,J282)+N282</f>
        <v/>
      </c>
      <c r="P282" s="44" t="inlineStr">
        <is>
          <t>문드라항-&gt;ICD 다드리(노이다) 통관: 한-인도 CEPA 합성수지 양허세율 적용</t>
        </is>
      </c>
    </row>
    <row r="283" ht="15" customHeight="1" s="32">
      <c r="A283" s="37" t="inlineStr">
        <is>
          <t>EPS</t>
        </is>
      </c>
      <c r="B283" s="37" t="inlineStr">
        <is>
          <t>Resin</t>
        </is>
      </c>
      <c r="C283" s="39" t="inlineStr">
        <is>
          <t>EPS (발포 폴리스티렌)</t>
        </is>
      </c>
      <c r="D283" s="37" t="inlineStr">
        <is>
          <t>HS 3903.11</t>
        </is>
      </c>
      <c r="E283" s="37" t="inlineStr">
        <is>
          <t>KR</t>
        </is>
      </c>
      <c r="F283" s="38" t="inlineStr">
        <is>
          <t>한국</t>
        </is>
      </c>
      <c r="G283" s="37" t="inlineStr">
        <is>
          <t>IN_PUN</t>
        </is>
      </c>
      <c r="H283" s="38" t="inlineStr">
        <is>
          <t>인도 (푸네)</t>
        </is>
      </c>
      <c r="I283" s="38" t="inlineStr">
        <is>
          <t>나바셰바항 (JNPT Mumbai) (INNSA)</t>
        </is>
      </c>
      <c r="J283" s="49" t="n">
        <v>0.0825</v>
      </c>
      <c r="K283" s="49" t="n">
        <v>0.025</v>
      </c>
      <c r="L283" s="37" t="inlineStr">
        <is>
          <t>Y</t>
        </is>
      </c>
      <c r="M283" s="38" t="inlineStr">
        <is>
          <t>한-인도 CEPA</t>
        </is>
      </c>
      <c r="N283" s="49" t="n">
        <v>0</v>
      </c>
      <c r="O283" s="50">
        <f>IF(L283="Y",K283,J283)+N283</f>
        <v/>
      </c>
      <c r="P283" s="38" t="inlineStr">
        <is>
          <t>나바셰바항(푸네) 통관: 한-인도 CEPA 합성수지 양허세율 적용</t>
        </is>
      </c>
    </row>
    <row r="284" ht="15" customHeight="1" s="32">
      <c r="A284" s="43" t="inlineStr">
        <is>
          <t>EPS</t>
        </is>
      </c>
      <c r="B284" s="43" t="inlineStr">
        <is>
          <t>Resin</t>
        </is>
      </c>
      <c r="C284" s="45" t="inlineStr">
        <is>
          <t>EPS (발포 폴리스티렌)</t>
        </is>
      </c>
      <c r="D284" s="43" t="inlineStr">
        <is>
          <t>HS 3903.11</t>
        </is>
      </c>
      <c r="E284" s="43" t="inlineStr">
        <is>
          <t>KR</t>
        </is>
      </c>
      <c r="F284" s="44" t="inlineStr">
        <is>
          <t>한국</t>
        </is>
      </c>
      <c r="G284" s="43" t="inlineStr">
        <is>
          <t>TH</t>
        </is>
      </c>
      <c r="H284" s="44" t="inlineStr">
        <is>
          <t>태국 (람차방)</t>
        </is>
      </c>
      <c r="I284" s="44" t="inlineStr">
        <is>
          <t>람차방항 (Laem Chabang) (THLCH)</t>
        </is>
      </c>
      <c r="J284" s="51" t="n">
        <v>0.05</v>
      </c>
      <c r="K284" s="51" t="n">
        <v>0</v>
      </c>
      <c r="L284" s="43" t="inlineStr">
        <is>
          <t>Y</t>
        </is>
      </c>
      <c r="M284" s="45" t="inlineStr">
        <is>
          <t>ASEAN FTA / RCEP</t>
        </is>
      </c>
      <c r="N284" s="51" t="n">
        <v>0</v>
      </c>
      <c r="O284" s="52">
        <f>IF(L284="Y",K284,J284)+N284</f>
        <v/>
      </c>
      <c r="P284" s="44" t="inlineStr">
        <is>
          <t>람차방항 통관: 아세안 역외 FTA 합성수지 0% 양허</t>
        </is>
      </c>
    </row>
    <row r="285" ht="15" customHeight="1" s="32">
      <c r="A285" s="37" t="inlineStr">
        <is>
          <t>EPS</t>
        </is>
      </c>
      <c r="B285" s="37" t="inlineStr">
        <is>
          <t>Resin</t>
        </is>
      </c>
      <c r="C285" s="39" t="inlineStr">
        <is>
          <t>EPS (발포 폴리스티렌)</t>
        </is>
      </c>
      <c r="D285" s="37" t="inlineStr">
        <is>
          <t>HS 3903.11</t>
        </is>
      </c>
      <c r="E285" s="37" t="inlineStr">
        <is>
          <t>KR</t>
        </is>
      </c>
      <c r="F285" s="38" t="inlineStr">
        <is>
          <t>한국</t>
        </is>
      </c>
      <c r="G285" s="37" t="inlineStr">
        <is>
          <t>ID</t>
        </is>
      </c>
      <c r="H285" s="38" t="inlineStr">
        <is>
          <t>인니 (자카르타)</t>
        </is>
      </c>
      <c r="I285" s="38" t="inlineStr">
        <is>
          <t>탄중프리옥항 (Tanjung Priok) (IDJKT)</t>
        </is>
      </c>
      <c r="J285" s="49" t="n">
        <v>0.1</v>
      </c>
      <c r="K285" s="49" t="n">
        <v>0</v>
      </c>
      <c r="L285" s="37" t="inlineStr">
        <is>
          <t>Y</t>
        </is>
      </c>
      <c r="M285" s="38" t="inlineStr">
        <is>
          <t>한-인니 CEPA / AKFTA</t>
        </is>
      </c>
      <c r="N285" s="49" t="n">
        <v>0</v>
      </c>
      <c r="O285" s="50">
        <f>IF(L285="Y",K285,J285)+N285</f>
        <v/>
      </c>
      <c r="P285" s="38" t="inlineStr">
        <is>
          <t>탄중프리옥항 통관: IK-CEPA 및 한-아세안 FTA 0%</t>
        </is>
      </c>
    </row>
    <row r="286" ht="15" customHeight="1" s="32">
      <c r="A286" s="43" t="inlineStr">
        <is>
          <t>EPS</t>
        </is>
      </c>
      <c r="B286" s="43" t="inlineStr">
        <is>
          <t>Resin</t>
        </is>
      </c>
      <c r="C286" s="45" t="inlineStr">
        <is>
          <t>EPS (발포 폴리스티렌)</t>
        </is>
      </c>
      <c r="D286" s="43" t="inlineStr">
        <is>
          <t>HS 3903.11</t>
        </is>
      </c>
      <c r="E286" s="43" t="inlineStr">
        <is>
          <t>KR</t>
        </is>
      </c>
      <c r="F286" s="44" t="inlineStr">
        <is>
          <t>한국</t>
        </is>
      </c>
      <c r="G286" s="43" t="inlineStr">
        <is>
          <t>SA</t>
        </is>
      </c>
      <c r="H286" s="44" t="inlineStr">
        <is>
          <t>사우디 (제다)</t>
        </is>
      </c>
      <c r="I286" s="44" t="inlineStr">
        <is>
          <t>제다 이슬람항 (Jeddah Islamic Port) (SAJED)</t>
        </is>
      </c>
      <c r="J286" s="51" t="n">
        <v>0.05</v>
      </c>
      <c r="K286" s="51" t="n">
        <v>0</v>
      </c>
      <c r="L286" s="43" t="inlineStr">
        <is>
          <t>Y</t>
        </is>
      </c>
      <c r="M286" s="44" t="inlineStr">
        <is>
          <t>한-GCC FTA</t>
        </is>
      </c>
      <c r="N286" s="51" t="n">
        <v>0</v>
      </c>
      <c r="O286" s="52">
        <f>IF(L286="Y",K286,J286)+N286</f>
        <v/>
      </c>
      <c r="P286" s="44" t="inlineStr">
        <is>
          <t>제다 이슬람항 통관: 한-GCC FTA 합성수지 양허 혜택</t>
        </is>
      </c>
    </row>
    <row r="287" ht="15" customHeight="1" s="32">
      <c r="A287" s="37" t="inlineStr">
        <is>
          <t>EPS</t>
        </is>
      </c>
      <c r="B287" s="37" t="inlineStr">
        <is>
          <t>Resin</t>
        </is>
      </c>
      <c r="C287" s="39" t="inlineStr">
        <is>
          <t>EPS (발포 폴리스티렌)</t>
        </is>
      </c>
      <c r="D287" s="37" t="inlineStr">
        <is>
          <t>HS 3903.11</t>
        </is>
      </c>
      <c r="E287" s="37" t="inlineStr">
        <is>
          <t>KR</t>
        </is>
      </c>
      <c r="F287" s="38" t="inlineStr">
        <is>
          <t>한국</t>
        </is>
      </c>
      <c r="G287" s="37" t="inlineStr">
        <is>
          <t>BR</t>
        </is>
      </c>
      <c r="H287" s="38" t="inlineStr">
        <is>
          <t>브라질 (마나우스)</t>
        </is>
      </c>
      <c r="I287" s="38" t="inlineStr">
        <is>
          <t>마나우스항 (Porto de Manaus / Chibatao) (BRMAO)</t>
        </is>
      </c>
      <c r="J287" s="49" t="n">
        <v>0.126</v>
      </c>
      <c r="K287" s="49" t="n">
        <v>0.126</v>
      </c>
      <c r="L287" s="37" t="inlineStr">
        <is>
          <t>N</t>
        </is>
      </c>
      <c r="M287" s="39" t="inlineStr">
        <is>
          <t>-</t>
        </is>
      </c>
      <c r="N287" s="49" t="n">
        <v>0</v>
      </c>
      <c r="O287" s="50">
        <f>IF(L287="Y",K287,J287)+N287</f>
        <v/>
      </c>
      <c r="P287" s="38" t="inlineStr">
        <is>
          <t>마나우스항 통관: Mercosur TEC 12.6% (마나우스 ZFM 88% 감면 시 1.51%)</t>
        </is>
      </c>
    </row>
    <row r="288" ht="15" customHeight="1" s="32">
      <c r="A288" s="43" t="inlineStr">
        <is>
          <t>EPS</t>
        </is>
      </c>
      <c r="B288" s="43" t="inlineStr">
        <is>
          <t>Resin</t>
        </is>
      </c>
      <c r="C288" s="45" t="inlineStr">
        <is>
          <t>EPS (발포 폴리스티렌)</t>
        </is>
      </c>
      <c r="D288" s="43" t="inlineStr">
        <is>
          <t>HS 3903.11</t>
        </is>
      </c>
      <c r="E288" s="43" t="inlineStr">
        <is>
          <t>KR</t>
        </is>
      </c>
      <c r="F288" s="44" t="inlineStr">
        <is>
          <t>한국</t>
        </is>
      </c>
      <c r="G288" s="43" t="inlineStr">
        <is>
          <t>EG</t>
        </is>
      </c>
      <c r="H288" s="44" t="inlineStr">
        <is>
          <t>이집트 (카이로)</t>
        </is>
      </c>
      <c r="I288" s="44" t="inlineStr">
        <is>
          <t>아인소크나항 (Ain Sokhna) / 알렉산드리아항 (EGSOK / EGALY)</t>
        </is>
      </c>
      <c r="J288" s="51" t="n">
        <v>0.05</v>
      </c>
      <c r="K288" s="51" t="n">
        <v>0.05</v>
      </c>
      <c r="L288" s="43" t="inlineStr">
        <is>
          <t>N</t>
        </is>
      </c>
      <c r="M288" s="45" t="inlineStr">
        <is>
          <t>-</t>
        </is>
      </c>
      <c r="N288" s="51" t="n">
        <v>0</v>
      </c>
      <c r="O288" s="52">
        <f>IF(L288="Y",K288,J288)+N288</f>
        <v/>
      </c>
      <c r="P288" s="44" t="inlineStr">
        <is>
          <t>아인소크나항(EGSOK)-&gt;카이로: 이집트 합성수지(HS 3902/3903) MFN 기본관세 5.0% 적용</t>
        </is>
      </c>
    </row>
    <row r="289" ht="15" customHeight="1" s="32">
      <c r="A289" s="37" t="inlineStr">
        <is>
          <t>EPS</t>
        </is>
      </c>
      <c r="B289" s="37" t="inlineStr">
        <is>
          <t>Resin</t>
        </is>
      </c>
      <c r="C289" s="39" t="inlineStr">
        <is>
          <t>EPS (발포 폴리스티렌)</t>
        </is>
      </c>
      <c r="D289" s="37" t="inlineStr">
        <is>
          <t>HS 3903.11</t>
        </is>
      </c>
      <c r="E289" s="37" t="inlineStr">
        <is>
          <t>KR</t>
        </is>
      </c>
      <c r="F289" s="38" t="inlineStr">
        <is>
          <t>한국</t>
        </is>
      </c>
      <c r="G289" s="37" t="inlineStr">
        <is>
          <t>US</t>
        </is>
      </c>
      <c r="H289" s="38" t="inlineStr">
        <is>
          <t>미국 (클락스빌)</t>
        </is>
      </c>
      <c r="I289" s="38" t="inlineStr">
        <is>
          <t>서배너항 (Savannah) / 찰스턴항 + 철도Ramp (USSAV / USCHS)</t>
        </is>
      </c>
      <c r="J289" s="49" t="n">
        <v>0.065</v>
      </c>
      <c r="K289" s="49" t="n">
        <v>0</v>
      </c>
      <c r="L289" s="37" t="inlineStr">
        <is>
          <t>Y</t>
        </is>
      </c>
      <c r="M289" s="38" t="inlineStr">
        <is>
          <t>한-미 FTA (KORUS)</t>
        </is>
      </c>
      <c r="N289" s="49" t="n">
        <v>0.125</v>
      </c>
      <c r="O289" s="50">
        <f>IF(L289="Y",K289,J289)+N289</f>
        <v/>
      </c>
      <c r="P289" s="38" t="inlineStr">
        <is>
          <t>서배너항-&gt;클락스빌: KORUS 기본 0%이나 2026.7 발효 미국 301조(9903.05.71)로 총 관세 12.5% 상한</t>
        </is>
      </c>
    </row>
    <row r="290" ht="15" customHeight="1" s="32">
      <c r="A290" s="43" t="inlineStr">
        <is>
          <t>EPS</t>
        </is>
      </c>
      <c r="B290" s="43" t="inlineStr">
        <is>
          <t>Resin</t>
        </is>
      </c>
      <c r="C290" s="45" t="inlineStr">
        <is>
          <t>EPS (발포 폴리스티렌)</t>
        </is>
      </c>
      <c r="D290" s="43" t="inlineStr">
        <is>
          <t>HS 3903.11</t>
        </is>
      </c>
      <c r="E290" s="43" t="inlineStr">
        <is>
          <t>KR</t>
        </is>
      </c>
      <c r="F290" s="44" t="inlineStr">
        <is>
          <t>한국</t>
        </is>
      </c>
      <c r="G290" s="43" t="inlineStr">
        <is>
          <t>NO</t>
        </is>
      </c>
      <c r="H290" s="44" t="inlineStr">
        <is>
          <t>노르웨이 (오슬로)</t>
        </is>
      </c>
      <c r="I290" s="44" t="inlineStr">
        <is>
          <t>오슬로항 (Port of Oslo) (NOOSL)</t>
        </is>
      </c>
      <c r="J290" s="51" t="n">
        <v>0</v>
      </c>
      <c r="K290" s="51" t="n">
        <v>0</v>
      </c>
      <c r="L290" s="43" t="inlineStr">
        <is>
          <t>N</t>
        </is>
      </c>
      <c r="M290" s="44" t="inlineStr">
        <is>
          <t>노르웨이 공산품 무관세 (한-EFTA 등)</t>
        </is>
      </c>
      <c r="N290" s="51" t="n">
        <v>0</v>
      </c>
      <c r="O290" s="52">
        <f>IF(L290="Y",K290,J290)+N290</f>
        <v/>
      </c>
      <c r="P290" s="44" t="inlineStr">
        <is>
          <t>오슬로항(NOOSL) 통관: 노르웨이 관세청(Tolltariffen) 철강·합성수지 전 품목 MFN 0% 무관세</t>
        </is>
      </c>
    </row>
    <row r="291" ht="15" customHeight="1" s="32">
      <c r="A291" s="37" t="inlineStr">
        <is>
          <t>EPS</t>
        </is>
      </c>
      <c r="B291" s="37" t="inlineStr">
        <is>
          <t>Resin</t>
        </is>
      </c>
      <c r="C291" s="39" t="inlineStr">
        <is>
          <t>EPS (발포 폴리스티렌)</t>
        </is>
      </c>
      <c r="D291" s="37" t="inlineStr">
        <is>
          <t>HS 3903.11</t>
        </is>
      </c>
      <c r="E291" s="37" t="inlineStr">
        <is>
          <t>CN</t>
        </is>
      </c>
      <c r="F291" s="38" t="inlineStr">
        <is>
          <t>중국</t>
        </is>
      </c>
      <c r="G291" s="37" t="inlineStr">
        <is>
          <t>KR</t>
        </is>
      </c>
      <c r="H291" s="38" t="inlineStr">
        <is>
          <t>한국 (부산)</t>
        </is>
      </c>
      <c r="I291" s="38" t="inlineStr">
        <is>
          <t>부산항 (Port of Busan) (KRPUS)</t>
        </is>
      </c>
      <c r="J291" s="49" t="n">
        <v>0.065</v>
      </c>
      <c r="K291" s="49" t="n">
        <v>0</v>
      </c>
      <c r="L291" s="37" t="inlineStr">
        <is>
          <t>Y</t>
        </is>
      </c>
      <c r="M291" s="38" t="inlineStr">
        <is>
          <t>한-중 FTA / RCEP</t>
        </is>
      </c>
      <c r="N291" s="49" t="n">
        <v>0</v>
      </c>
      <c r="O291" s="50">
        <f>IF(L291="Y",K291,J291)+N291</f>
        <v/>
      </c>
      <c r="P291" s="38" t="inlineStr">
        <is>
          <t>부산항 통관: 한-중 FTA 및 RCEP 양허세율 적용</t>
        </is>
      </c>
    </row>
    <row r="292" ht="15" customHeight="1" s="32">
      <c r="A292" s="43" t="inlineStr">
        <is>
          <t>EPS</t>
        </is>
      </c>
      <c r="B292" s="43" t="inlineStr">
        <is>
          <t>Resin</t>
        </is>
      </c>
      <c r="C292" s="45" t="inlineStr">
        <is>
          <t>EPS (발포 폴리스티렌)</t>
        </is>
      </c>
      <c r="D292" s="43" t="inlineStr">
        <is>
          <t>HS 3903.11</t>
        </is>
      </c>
      <c r="E292" s="43" t="inlineStr">
        <is>
          <t>CN</t>
        </is>
      </c>
      <c r="F292" s="44" t="inlineStr">
        <is>
          <t>중국</t>
        </is>
      </c>
      <c r="G292" s="43" t="inlineStr">
        <is>
          <t>CN</t>
        </is>
      </c>
      <c r="H292" s="44" t="inlineStr">
        <is>
          <t>중국 (천진)</t>
        </is>
      </c>
      <c r="I292" s="44" t="inlineStr">
        <is>
          <t>천진 신강항 (Tianjin Xingang) (CNTSN)</t>
        </is>
      </c>
      <c r="J292" s="51" t="n">
        <v>0</v>
      </c>
      <c r="K292" s="51" t="n">
        <v>0</v>
      </c>
      <c r="L292" s="43" t="inlineStr">
        <is>
          <t>N</t>
        </is>
      </c>
      <c r="M292" s="44" t="inlineStr">
        <is>
          <t>내수 조달 (관세 없음)</t>
        </is>
      </c>
      <c r="N292" s="51" t="n">
        <v>0</v>
      </c>
      <c r="O292" s="52">
        <f>IF(L292="Y",K292,J292)+N292</f>
        <v/>
      </c>
      <c r="P292" s="44" t="inlineStr">
        <is>
          <t>동일 국가 내 조달 (천진 (Tianjin) 직송, 수입관세 면제)</t>
        </is>
      </c>
    </row>
    <row r="293" ht="15" customHeight="1" s="32">
      <c r="A293" s="37" t="inlineStr">
        <is>
          <t>EPS</t>
        </is>
      </c>
      <c r="B293" s="37" t="inlineStr">
        <is>
          <t>Resin</t>
        </is>
      </c>
      <c r="C293" s="39" t="inlineStr">
        <is>
          <t>EPS (발포 폴리스티렌)</t>
        </is>
      </c>
      <c r="D293" s="37" t="inlineStr">
        <is>
          <t>HS 3903.11</t>
        </is>
      </c>
      <c r="E293" s="37" t="inlineStr">
        <is>
          <t>CN</t>
        </is>
      </c>
      <c r="F293" s="38" t="inlineStr">
        <is>
          <t>중국</t>
        </is>
      </c>
      <c r="G293" s="37" t="inlineStr">
        <is>
          <t>IN_NOI</t>
        </is>
      </c>
      <c r="H293" s="38" t="inlineStr">
        <is>
          <t>인도 (노이다)</t>
        </is>
      </c>
      <c r="I293" s="38" t="inlineStr">
        <is>
          <t>문드라항 (Mundra) + ICD 다드리 (INMUN-&gt;INDAD)</t>
        </is>
      </c>
      <c r="J293" s="49" t="n">
        <v>0.0825</v>
      </c>
      <c r="K293" s="49" t="n">
        <v>0.0825</v>
      </c>
      <c r="L293" s="37" t="inlineStr">
        <is>
          <t>N</t>
        </is>
      </c>
      <c r="M293" s="39" t="inlineStr">
        <is>
          <t>-</t>
        </is>
      </c>
      <c r="N293" s="49" t="n">
        <v>0</v>
      </c>
      <c r="O293" s="50">
        <f>IF(L293="Y",K293,J293)+N293</f>
        <v/>
      </c>
      <c r="P293" s="39" t="inlineStr">
        <is>
          <t>WTO/WITS 일반 MFN 세율 적용</t>
        </is>
      </c>
    </row>
    <row r="294" ht="15" customHeight="1" s="32">
      <c r="A294" s="43" t="inlineStr">
        <is>
          <t>EPS</t>
        </is>
      </c>
      <c r="B294" s="43" t="inlineStr">
        <is>
          <t>Resin</t>
        </is>
      </c>
      <c r="C294" s="45" t="inlineStr">
        <is>
          <t>EPS (발포 폴리스티렌)</t>
        </is>
      </c>
      <c r="D294" s="43" t="inlineStr">
        <is>
          <t>HS 3903.11</t>
        </is>
      </c>
      <c r="E294" s="43" t="inlineStr">
        <is>
          <t>CN</t>
        </is>
      </c>
      <c r="F294" s="44" t="inlineStr">
        <is>
          <t>중국</t>
        </is>
      </c>
      <c r="G294" s="43" t="inlineStr">
        <is>
          <t>IN_PUN</t>
        </is>
      </c>
      <c r="H294" s="44" t="inlineStr">
        <is>
          <t>인도 (푸네)</t>
        </is>
      </c>
      <c r="I294" s="44" t="inlineStr">
        <is>
          <t>나바셰바항 (JNPT Mumbai) (INNSA)</t>
        </is>
      </c>
      <c r="J294" s="51" t="n">
        <v>0.0825</v>
      </c>
      <c r="K294" s="51" t="n">
        <v>0.0825</v>
      </c>
      <c r="L294" s="43" t="inlineStr">
        <is>
          <t>N</t>
        </is>
      </c>
      <c r="M294" s="45" t="inlineStr">
        <is>
          <t>-</t>
        </is>
      </c>
      <c r="N294" s="51" t="n">
        <v>0</v>
      </c>
      <c r="O294" s="52">
        <f>IF(L294="Y",K294,J294)+N294</f>
        <v/>
      </c>
      <c r="P294" s="45" t="inlineStr">
        <is>
          <t>WTO/WITS 일반 MFN 세율 적용</t>
        </is>
      </c>
    </row>
    <row r="295" ht="15" customHeight="1" s="32">
      <c r="A295" s="37" t="inlineStr">
        <is>
          <t>EPS</t>
        </is>
      </c>
      <c r="B295" s="37" t="inlineStr">
        <is>
          <t>Resin</t>
        </is>
      </c>
      <c r="C295" s="39" t="inlineStr">
        <is>
          <t>EPS (발포 폴리스티렌)</t>
        </is>
      </c>
      <c r="D295" s="37" t="inlineStr">
        <is>
          <t>HS 3903.11</t>
        </is>
      </c>
      <c r="E295" s="37" t="inlineStr">
        <is>
          <t>CN</t>
        </is>
      </c>
      <c r="F295" s="38" t="inlineStr">
        <is>
          <t>중국</t>
        </is>
      </c>
      <c r="G295" s="37" t="inlineStr">
        <is>
          <t>TH</t>
        </is>
      </c>
      <c r="H295" s="38" t="inlineStr">
        <is>
          <t>태국 (람차방)</t>
        </is>
      </c>
      <c r="I295" s="38" t="inlineStr">
        <is>
          <t>람차방항 (Laem Chabang) (THLCH)</t>
        </is>
      </c>
      <c r="J295" s="49" t="n">
        <v>0.05</v>
      </c>
      <c r="K295" s="49" t="n">
        <v>0</v>
      </c>
      <c r="L295" s="37" t="inlineStr">
        <is>
          <t>Y</t>
        </is>
      </c>
      <c r="M295" s="39" t="inlineStr">
        <is>
          <t>ASEAN FTA / RCEP</t>
        </is>
      </c>
      <c r="N295" s="49" t="n">
        <v>0</v>
      </c>
      <c r="O295" s="50">
        <f>IF(L295="Y",K295,J295)+N295</f>
        <v/>
      </c>
      <c r="P295" s="38" t="inlineStr">
        <is>
          <t>람차방항 통관: 아세안 역외 FTA 합성수지 0% 양허</t>
        </is>
      </c>
    </row>
    <row r="296" ht="15" customHeight="1" s="32">
      <c r="A296" s="43" t="inlineStr">
        <is>
          <t>EPS</t>
        </is>
      </c>
      <c r="B296" s="43" t="inlineStr">
        <is>
          <t>Resin</t>
        </is>
      </c>
      <c r="C296" s="45" t="inlineStr">
        <is>
          <t>EPS (발포 폴리스티렌)</t>
        </is>
      </c>
      <c r="D296" s="43" t="inlineStr">
        <is>
          <t>HS 3903.11</t>
        </is>
      </c>
      <c r="E296" s="43" t="inlineStr">
        <is>
          <t>CN</t>
        </is>
      </c>
      <c r="F296" s="44" t="inlineStr">
        <is>
          <t>중국</t>
        </is>
      </c>
      <c r="G296" s="43" t="inlineStr">
        <is>
          <t>ID</t>
        </is>
      </c>
      <c r="H296" s="44" t="inlineStr">
        <is>
          <t>인니 (자카르타)</t>
        </is>
      </c>
      <c r="I296" s="44" t="inlineStr">
        <is>
          <t>탄중프리옥항 (Tanjung Priok) (IDJKT)</t>
        </is>
      </c>
      <c r="J296" s="51" t="n">
        <v>0.1</v>
      </c>
      <c r="K296" s="51" t="n">
        <v>0</v>
      </c>
      <c r="L296" s="43" t="inlineStr">
        <is>
          <t>Y</t>
        </is>
      </c>
      <c r="M296" s="44" t="inlineStr">
        <is>
          <t>중-ASEAN FTA (ACFTA)</t>
        </is>
      </c>
      <c r="N296" s="51" t="n">
        <v>0</v>
      </c>
      <c r="O296" s="52">
        <f>IF(L296="Y",K296,J296)+N296</f>
        <v/>
      </c>
      <c r="P296" s="44" t="inlineStr">
        <is>
          <t>탄중프리옥항 통관: ACFTA 0% 양허 적용</t>
        </is>
      </c>
    </row>
    <row r="297" ht="15" customHeight="1" s="32">
      <c r="A297" s="37" t="inlineStr">
        <is>
          <t>EPS</t>
        </is>
      </c>
      <c r="B297" s="37" t="inlineStr">
        <is>
          <t>Resin</t>
        </is>
      </c>
      <c r="C297" s="39" t="inlineStr">
        <is>
          <t>EPS (발포 폴리스티렌)</t>
        </is>
      </c>
      <c r="D297" s="37" t="inlineStr">
        <is>
          <t>HS 3903.11</t>
        </is>
      </c>
      <c r="E297" s="37" t="inlineStr">
        <is>
          <t>CN</t>
        </is>
      </c>
      <c r="F297" s="38" t="inlineStr">
        <is>
          <t>중국</t>
        </is>
      </c>
      <c r="G297" s="37" t="inlineStr">
        <is>
          <t>SA</t>
        </is>
      </c>
      <c r="H297" s="38" t="inlineStr">
        <is>
          <t>사우디 (제다)</t>
        </is>
      </c>
      <c r="I297" s="38" t="inlineStr">
        <is>
          <t>제다 이슬람항 (Jeddah Islamic Port) (SAJED)</t>
        </is>
      </c>
      <c r="J297" s="49" t="n">
        <v>0.05</v>
      </c>
      <c r="K297" s="49" t="n">
        <v>0.05</v>
      </c>
      <c r="L297" s="37" t="inlineStr">
        <is>
          <t>N</t>
        </is>
      </c>
      <c r="M297" s="39" t="inlineStr">
        <is>
          <t>-</t>
        </is>
      </c>
      <c r="N297" s="49" t="n">
        <v>0</v>
      </c>
      <c r="O297" s="50">
        <f>IF(L297="Y",K297,J297)+N297</f>
        <v/>
      </c>
      <c r="P297" s="38" t="inlineStr">
        <is>
          <t>제다 이슬람항 통관: GCC 공동관세율(CET) 기본 5.0% 적용</t>
        </is>
      </c>
    </row>
    <row r="298" ht="15" customHeight="1" s="32">
      <c r="A298" s="43" t="inlineStr">
        <is>
          <t>EPS</t>
        </is>
      </c>
      <c r="B298" s="43" t="inlineStr">
        <is>
          <t>Resin</t>
        </is>
      </c>
      <c r="C298" s="45" t="inlineStr">
        <is>
          <t>EPS (발포 폴리스티렌)</t>
        </is>
      </c>
      <c r="D298" s="43" t="inlineStr">
        <is>
          <t>HS 3903.11</t>
        </is>
      </c>
      <c r="E298" s="43" t="inlineStr">
        <is>
          <t>CN</t>
        </is>
      </c>
      <c r="F298" s="44" t="inlineStr">
        <is>
          <t>중국</t>
        </is>
      </c>
      <c r="G298" s="43" t="inlineStr">
        <is>
          <t>BR</t>
        </is>
      </c>
      <c r="H298" s="44" t="inlineStr">
        <is>
          <t>브라질 (마나우스)</t>
        </is>
      </c>
      <c r="I298" s="44" t="inlineStr">
        <is>
          <t>마나우스항 (Porto de Manaus / Chibatao) (BRMAO)</t>
        </is>
      </c>
      <c r="J298" s="51" t="n">
        <v>0.126</v>
      </c>
      <c r="K298" s="51" t="n">
        <v>0.126</v>
      </c>
      <c r="L298" s="43" t="inlineStr">
        <is>
          <t>N</t>
        </is>
      </c>
      <c r="M298" s="45" t="inlineStr">
        <is>
          <t>-</t>
        </is>
      </c>
      <c r="N298" s="51" t="n">
        <v>0</v>
      </c>
      <c r="O298" s="52">
        <f>IF(L298="Y",K298,J298)+N298</f>
        <v/>
      </c>
      <c r="P298" s="44" t="inlineStr">
        <is>
          <t>마나우스항 통관: Mercosur TEC 12.6% (마나우스 ZFM 88% 감면 시 1.51%)</t>
        </is>
      </c>
    </row>
    <row r="299" ht="15" customHeight="1" s="32">
      <c r="A299" s="37" t="inlineStr">
        <is>
          <t>EPS</t>
        </is>
      </c>
      <c r="B299" s="37" t="inlineStr">
        <is>
          <t>Resin</t>
        </is>
      </c>
      <c r="C299" s="39" t="inlineStr">
        <is>
          <t>EPS (발포 폴리스티렌)</t>
        </is>
      </c>
      <c r="D299" s="37" t="inlineStr">
        <is>
          <t>HS 3903.11</t>
        </is>
      </c>
      <c r="E299" s="37" t="inlineStr">
        <is>
          <t>CN</t>
        </is>
      </c>
      <c r="F299" s="38" t="inlineStr">
        <is>
          <t>중국</t>
        </is>
      </c>
      <c r="G299" s="37" t="inlineStr">
        <is>
          <t>EG</t>
        </is>
      </c>
      <c r="H299" s="38" t="inlineStr">
        <is>
          <t>이집트 (카이로)</t>
        </is>
      </c>
      <c r="I299" s="38" t="inlineStr">
        <is>
          <t>아인소크나항 (Ain Sokhna) / 알렉산드리아항 (EGSOK / EGALY)</t>
        </is>
      </c>
      <c r="J299" s="49" t="n">
        <v>0.05</v>
      </c>
      <c r="K299" s="49" t="n">
        <v>0.05</v>
      </c>
      <c r="L299" s="37" t="inlineStr">
        <is>
          <t>N</t>
        </is>
      </c>
      <c r="M299" s="39" t="inlineStr">
        <is>
          <t>-</t>
        </is>
      </c>
      <c r="N299" s="49" t="n">
        <v>0</v>
      </c>
      <c r="O299" s="50">
        <f>IF(L299="Y",K299,J299)+N299</f>
        <v/>
      </c>
      <c r="P299" s="38" t="inlineStr">
        <is>
          <t>아인소크나항(EGSOK)-&gt;카이로: 이집트 합성수지(HS 3902/3903) MFN 기본관세 5.0% 적용</t>
        </is>
      </c>
    </row>
    <row r="300" ht="15" customHeight="1" s="32">
      <c r="A300" s="43" t="inlineStr">
        <is>
          <t>EPS</t>
        </is>
      </c>
      <c r="B300" s="43" t="inlineStr">
        <is>
          <t>Resin</t>
        </is>
      </c>
      <c r="C300" s="45" t="inlineStr">
        <is>
          <t>EPS (발포 폴리스티렌)</t>
        </is>
      </c>
      <c r="D300" s="43" t="inlineStr">
        <is>
          <t>HS 3903.11</t>
        </is>
      </c>
      <c r="E300" s="43" t="inlineStr">
        <is>
          <t>CN</t>
        </is>
      </c>
      <c r="F300" s="44" t="inlineStr">
        <is>
          <t>중국</t>
        </is>
      </c>
      <c r="G300" s="43" t="inlineStr">
        <is>
          <t>US</t>
        </is>
      </c>
      <c r="H300" s="44" t="inlineStr">
        <is>
          <t>미국 (클락스빌)</t>
        </is>
      </c>
      <c r="I300" s="44" t="inlineStr">
        <is>
          <t>서배너항 (Savannah) / 찰스턴항 + 철도Ramp (USSAV / USCHS)</t>
        </is>
      </c>
      <c r="J300" s="51" t="n">
        <v>0.065</v>
      </c>
      <c r="K300" s="51" t="n">
        <v>0.065</v>
      </c>
      <c r="L300" s="43" t="inlineStr">
        <is>
          <t>N</t>
        </is>
      </c>
      <c r="M300" s="45" t="inlineStr">
        <is>
          <t>-</t>
        </is>
      </c>
      <c r="N300" s="51" t="n">
        <v>0.375</v>
      </c>
      <c r="O300" s="52">
        <f>IF(L300="Y",K300,J300)+N300</f>
        <v/>
      </c>
      <c r="P300" s="44" t="inlineStr">
        <is>
          <t>서배너항-&gt;클락스빌: MFN 6.5% + 대중국 301조 List 3(25%) + 2026.7 추가 301조(12.5%) 합산 44.0%</t>
        </is>
      </c>
    </row>
    <row r="301" ht="15" customHeight="1" s="32">
      <c r="A301" s="37" t="inlineStr">
        <is>
          <t>EPS</t>
        </is>
      </c>
      <c r="B301" s="37" t="inlineStr">
        <is>
          <t>Resin</t>
        </is>
      </c>
      <c r="C301" s="39" t="inlineStr">
        <is>
          <t>EPS (발포 폴리스티렌)</t>
        </is>
      </c>
      <c r="D301" s="37" t="inlineStr">
        <is>
          <t>HS 3903.11</t>
        </is>
      </c>
      <c r="E301" s="37" t="inlineStr">
        <is>
          <t>CN</t>
        </is>
      </c>
      <c r="F301" s="38" t="inlineStr">
        <is>
          <t>중국</t>
        </is>
      </c>
      <c r="G301" s="37" t="inlineStr">
        <is>
          <t>NO</t>
        </is>
      </c>
      <c r="H301" s="38" t="inlineStr">
        <is>
          <t>노르웨이 (오슬로)</t>
        </is>
      </c>
      <c r="I301" s="38" t="inlineStr">
        <is>
          <t>오슬로항 (Port of Oslo) (NOOSL)</t>
        </is>
      </c>
      <c r="J301" s="49" t="n">
        <v>0</v>
      </c>
      <c r="K301" s="49" t="n">
        <v>0</v>
      </c>
      <c r="L301" s="37" t="inlineStr">
        <is>
          <t>N</t>
        </is>
      </c>
      <c r="M301" s="38" t="inlineStr">
        <is>
          <t>노르웨이 공산품 무관세 (한-EFTA 등)</t>
        </is>
      </c>
      <c r="N301" s="49" t="n">
        <v>0</v>
      </c>
      <c r="O301" s="50">
        <f>IF(L301="Y",K301,J301)+N301</f>
        <v/>
      </c>
      <c r="P301" s="38" t="inlineStr">
        <is>
          <t>오슬로항(NOOSL) 통관: 노르웨이 관세청(Tolltariffen) 철강·합성수지 전 품목 MFN 0% 무관세</t>
        </is>
      </c>
    </row>
    <row r="302" ht="15" customHeight="1" s="32">
      <c r="A302" s="43" t="inlineStr">
        <is>
          <t>EPS</t>
        </is>
      </c>
      <c r="B302" s="43" t="inlineStr">
        <is>
          <t>Resin</t>
        </is>
      </c>
      <c r="C302" s="45" t="inlineStr">
        <is>
          <t>EPS (발포 폴리스티렌)</t>
        </is>
      </c>
      <c r="D302" s="43" t="inlineStr">
        <is>
          <t>HS 3903.11</t>
        </is>
      </c>
      <c r="E302" s="43" t="inlineStr">
        <is>
          <t>TH</t>
        </is>
      </c>
      <c r="F302" s="44" t="inlineStr">
        <is>
          <t>태국</t>
        </is>
      </c>
      <c r="G302" s="43" t="inlineStr">
        <is>
          <t>KR</t>
        </is>
      </c>
      <c r="H302" s="44" t="inlineStr">
        <is>
          <t>한국 (부산)</t>
        </is>
      </c>
      <c r="I302" s="44" t="inlineStr">
        <is>
          <t>부산항 (Port of Busan) (KRPUS)</t>
        </is>
      </c>
      <c r="J302" s="51" t="n">
        <v>0.065</v>
      </c>
      <c r="K302" s="51" t="n">
        <v>0</v>
      </c>
      <c r="L302" s="43" t="inlineStr">
        <is>
          <t>Y</t>
        </is>
      </c>
      <c r="M302" s="44" t="inlineStr">
        <is>
          <t>한-ASEAN FTA / RCEP</t>
        </is>
      </c>
      <c r="N302" s="51" t="n">
        <v>0</v>
      </c>
      <c r="O302" s="52">
        <f>IF(L302="Y",K302,J302)+N302</f>
        <v/>
      </c>
      <c r="P302" s="44" t="inlineStr">
        <is>
          <t>부산항 통관: 한-아세안 FTA 0% 양허</t>
        </is>
      </c>
    </row>
    <row r="303" ht="15" customHeight="1" s="32">
      <c r="A303" s="37" t="inlineStr">
        <is>
          <t>EPS</t>
        </is>
      </c>
      <c r="B303" s="37" t="inlineStr">
        <is>
          <t>Resin</t>
        </is>
      </c>
      <c r="C303" s="39" t="inlineStr">
        <is>
          <t>EPS (발포 폴리스티렌)</t>
        </is>
      </c>
      <c r="D303" s="37" t="inlineStr">
        <is>
          <t>HS 3903.11</t>
        </is>
      </c>
      <c r="E303" s="37" t="inlineStr">
        <is>
          <t>TH</t>
        </is>
      </c>
      <c r="F303" s="38" t="inlineStr">
        <is>
          <t>태국</t>
        </is>
      </c>
      <c r="G303" s="37" t="inlineStr">
        <is>
          <t>CN</t>
        </is>
      </c>
      <c r="H303" s="38" t="inlineStr">
        <is>
          <t>중국 (천진)</t>
        </is>
      </c>
      <c r="I303" s="38" t="inlineStr">
        <is>
          <t>천진 신강항 (Tianjin Xingang) (CNTSN)</t>
        </is>
      </c>
      <c r="J303" s="49" t="n">
        <v>0.065</v>
      </c>
      <c r="K303" s="49" t="n">
        <v>0</v>
      </c>
      <c r="L303" s="37" t="inlineStr">
        <is>
          <t>Y</t>
        </is>
      </c>
      <c r="M303" s="38" t="inlineStr">
        <is>
          <t>중-ASEAN FTA (ACFTA)</t>
        </is>
      </c>
      <c r="N303" s="49" t="n">
        <v>0</v>
      </c>
      <c r="O303" s="50">
        <f>IF(L303="Y",K303,J303)+N303</f>
        <v/>
      </c>
      <c r="P303" s="38" t="inlineStr">
        <is>
          <t>천진 신강항 통관: 중-아세안 FTA 합성수지 0% 무관세</t>
        </is>
      </c>
    </row>
    <row r="304" ht="15" customHeight="1" s="32">
      <c r="A304" s="43" t="inlineStr">
        <is>
          <t>EPS</t>
        </is>
      </c>
      <c r="B304" s="43" t="inlineStr">
        <is>
          <t>Resin</t>
        </is>
      </c>
      <c r="C304" s="45" t="inlineStr">
        <is>
          <t>EPS (발포 폴리스티렌)</t>
        </is>
      </c>
      <c r="D304" s="43" t="inlineStr">
        <is>
          <t>HS 3903.11</t>
        </is>
      </c>
      <c r="E304" s="43" t="inlineStr">
        <is>
          <t>TH</t>
        </is>
      </c>
      <c r="F304" s="44" t="inlineStr">
        <is>
          <t>태국</t>
        </is>
      </c>
      <c r="G304" s="43" t="inlineStr">
        <is>
          <t>IN_NOI</t>
        </is>
      </c>
      <c r="H304" s="44" t="inlineStr">
        <is>
          <t>인도 (노이다)</t>
        </is>
      </c>
      <c r="I304" s="44" t="inlineStr">
        <is>
          <t>문드라항 (Mundra) + ICD 다드리 (INMUN-&gt;INDAD)</t>
        </is>
      </c>
      <c r="J304" s="51" t="n">
        <v>0.0825</v>
      </c>
      <c r="K304" s="51" t="n">
        <v>0.02</v>
      </c>
      <c r="L304" s="43" t="inlineStr">
        <is>
          <t>Y</t>
        </is>
      </c>
      <c r="M304" s="44" t="inlineStr">
        <is>
          <t>인도-ASEAN FTA</t>
        </is>
      </c>
      <c r="N304" s="51" t="n">
        <v>0</v>
      </c>
      <c r="O304" s="52">
        <f>IF(L304="Y",K304,J304)+N304</f>
        <v/>
      </c>
      <c r="P304" s="44" t="inlineStr">
        <is>
          <t>문드라항-&gt;ICD 다드리(노이다) 통관: 인도-아세안 FTA 폴리머 양허세율 적용</t>
        </is>
      </c>
    </row>
    <row r="305" ht="15" customHeight="1" s="32">
      <c r="A305" s="37" t="inlineStr">
        <is>
          <t>EPS</t>
        </is>
      </c>
      <c r="B305" s="37" t="inlineStr">
        <is>
          <t>Resin</t>
        </is>
      </c>
      <c r="C305" s="39" t="inlineStr">
        <is>
          <t>EPS (발포 폴리스티렌)</t>
        </is>
      </c>
      <c r="D305" s="37" t="inlineStr">
        <is>
          <t>HS 3903.11</t>
        </is>
      </c>
      <c r="E305" s="37" t="inlineStr">
        <is>
          <t>TH</t>
        </is>
      </c>
      <c r="F305" s="38" t="inlineStr">
        <is>
          <t>태국</t>
        </is>
      </c>
      <c r="G305" s="37" t="inlineStr">
        <is>
          <t>IN_PUN</t>
        </is>
      </c>
      <c r="H305" s="38" t="inlineStr">
        <is>
          <t>인도 (푸네)</t>
        </is>
      </c>
      <c r="I305" s="38" t="inlineStr">
        <is>
          <t>나바셰바항 (JNPT Mumbai) (INNSA)</t>
        </is>
      </c>
      <c r="J305" s="49" t="n">
        <v>0.0825</v>
      </c>
      <c r="K305" s="49" t="n">
        <v>0.02</v>
      </c>
      <c r="L305" s="37" t="inlineStr">
        <is>
          <t>Y</t>
        </is>
      </c>
      <c r="M305" s="38" t="inlineStr">
        <is>
          <t>인도-ASEAN FTA</t>
        </is>
      </c>
      <c r="N305" s="49" t="n">
        <v>0</v>
      </c>
      <c r="O305" s="50">
        <f>IF(L305="Y",K305,J305)+N305</f>
        <v/>
      </c>
      <c r="P305" s="38" t="inlineStr">
        <is>
          <t>나바셰바항(푸네) 통관: 인도-아세안 FTA 폴리머 양허세율 적용</t>
        </is>
      </c>
    </row>
    <row r="306" ht="15" customHeight="1" s="32">
      <c r="A306" s="43" t="inlineStr">
        <is>
          <t>EPS</t>
        </is>
      </c>
      <c r="B306" s="43" t="inlineStr">
        <is>
          <t>Resin</t>
        </is>
      </c>
      <c r="C306" s="45" t="inlineStr">
        <is>
          <t>EPS (발포 폴리스티렌)</t>
        </is>
      </c>
      <c r="D306" s="43" t="inlineStr">
        <is>
          <t>HS 3903.11</t>
        </is>
      </c>
      <c r="E306" s="43" t="inlineStr">
        <is>
          <t>TH</t>
        </is>
      </c>
      <c r="F306" s="44" t="inlineStr">
        <is>
          <t>태국</t>
        </is>
      </c>
      <c r="G306" s="43" t="inlineStr">
        <is>
          <t>TH</t>
        </is>
      </c>
      <c r="H306" s="44" t="inlineStr">
        <is>
          <t>태국 (람차방)</t>
        </is>
      </c>
      <c r="I306" s="44" t="inlineStr">
        <is>
          <t>람차방항 (Laem Chabang) (THLCH)</t>
        </is>
      </c>
      <c r="J306" s="51" t="n">
        <v>0</v>
      </c>
      <c r="K306" s="51" t="n">
        <v>0</v>
      </c>
      <c r="L306" s="43" t="inlineStr">
        <is>
          <t>N</t>
        </is>
      </c>
      <c r="M306" s="44" t="inlineStr">
        <is>
          <t>내수 조달 (관세 없음)</t>
        </is>
      </c>
      <c r="N306" s="51" t="n">
        <v>0</v>
      </c>
      <c r="O306" s="52">
        <f>IF(L306="Y",K306,J306)+N306</f>
        <v/>
      </c>
      <c r="P306" s="44" t="inlineStr">
        <is>
          <t>동일 국가 내 조달 (람차방 / 라용 (Laem Chabang) 직송, 수입관세 면제)</t>
        </is>
      </c>
    </row>
    <row r="307" ht="15" customHeight="1" s="32">
      <c r="A307" s="37" t="inlineStr">
        <is>
          <t>EPS</t>
        </is>
      </c>
      <c r="B307" s="37" t="inlineStr">
        <is>
          <t>Resin</t>
        </is>
      </c>
      <c r="C307" s="39" t="inlineStr">
        <is>
          <t>EPS (발포 폴리스티렌)</t>
        </is>
      </c>
      <c r="D307" s="37" t="inlineStr">
        <is>
          <t>HS 3903.11</t>
        </is>
      </c>
      <c r="E307" s="37" t="inlineStr">
        <is>
          <t>TH</t>
        </is>
      </c>
      <c r="F307" s="38" t="inlineStr">
        <is>
          <t>태국</t>
        </is>
      </c>
      <c r="G307" s="37" t="inlineStr">
        <is>
          <t>ID</t>
        </is>
      </c>
      <c r="H307" s="38" t="inlineStr">
        <is>
          <t>인니 (자카르타)</t>
        </is>
      </c>
      <c r="I307" s="38" t="inlineStr">
        <is>
          <t>탄중프리옥항 (Tanjung Priok) (IDJKT)</t>
        </is>
      </c>
      <c r="J307" s="49" t="n">
        <v>0.1</v>
      </c>
      <c r="K307" s="49" t="n">
        <v>0</v>
      </c>
      <c r="L307" s="37" t="inlineStr">
        <is>
          <t>Y</t>
        </is>
      </c>
      <c r="M307" s="39" t="inlineStr">
        <is>
          <t>ATIGA (아세안무역협정)</t>
        </is>
      </c>
      <c r="N307" s="49" t="n">
        <v>0</v>
      </c>
      <c r="O307" s="50">
        <f>IF(L307="Y",K307,J307)+N307</f>
        <v/>
      </c>
      <c r="P307" s="38" t="inlineStr">
        <is>
          <t>탄중프리옥항 통관: ATIGA 역내 무관세(0%)</t>
        </is>
      </c>
    </row>
    <row r="308" ht="15" customHeight="1" s="32">
      <c r="A308" s="43" t="inlineStr">
        <is>
          <t>EPS</t>
        </is>
      </c>
      <c r="B308" s="43" t="inlineStr">
        <is>
          <t>Resin</t>
        </is>
      </c>
      <c r="C308" s="45" t="inlineStr">
        <is>
          <t>EPS (발포 폴리스티렌)</t>
        </is>
      </c>
      <c r="D308" s="43" t="inlineStr">
        <is>
          <t>HS 3903.11</t>
        </is>
      </c>
      <c r="E308" s="43" t="inlineStr">
        <is>
          <t>TH</t>
        </is>
      </c>
      <c r="F308" s="44" t="inlineStr">
        <is>
          <t>태국</t>
        </is>
      </c>
      <c r="G308" s="43" t="inlineStr">
        <is>
          <t>SA</t>
        </is>
      </c>
      <c r="H308" s="44" t="inlineStr">
        <is>
          <t>사우디 (제다)</t>
        </is>
      </c>
      <c r="I308" s="44" t="inlineStr">
        <is>
          <t>제다 이슬람항 (Jeddah Islamic Port) (SAJED)</t>
        </is>
      </c>
      <c r="J308" s="51" t="n">
        <v>0.05</v>
      </c>
      <c r="K308" s="51" t="n">
        <v>0.05</v>
      </c>
      <c r="L308" s="43" t="inlineStr">
        <is>
          <t>N</t>
        </is>
      </c>
      <c r="M308" s="45" t="inlineStr">
        <is>
          <t>-</t>
        </is>
      </c>
      <c r="N308" s="51" t="n">
        <v>0</v>
      </c>
      <c r="O308" s="52">
        <f>IF(L308="Y",K308,J308)+N308</f>
        <v/>
      </c>
      <c r="P308" s="44" t="inlineStr">
        <is>
          <t>제다 이슬람항 통관: GCC 공동관세율(CET) 기본 5.0% 적용</t>
        </is>
      </c>
    </row>
    <row r="309" ht="15" customHeight="1" s="32">
      <c r="A309" s="37" t="inlineStr">
        <is>
          <t>EPS</t>
        </is>
      </c>
      <c r="B309" s="37" t="inlineStr">
        <is>
          <t>Resin</t>
        </is>
      </c>
      <c r="C309" s="39" t="inlineStr">
        <is>
          <t>EPS (발포 폴리스티렌)</t>
        </is>
      </c>
      <c r="D309" s="37" t="inlineStr">
        <is>
          <t>HS 3903.11</t>
        </is>
      </c>
      <c r="E309" s="37" t="inlineStr">
        <is>
          <t>TH</t>
        </is>
      </c>
      <c r="F309" s="38" t="inlineStr">
        <is>
          <t>태국</t>
        </is>
      </c>
      <c r="G309" s="37" t="inlineStr">
        <is>
          <t>BR</t>
        </is>
      </c>
      <c r="H309" s="38" t="inlineStr">
        <is>
          <t>브라질 (마나우스)</t>
        </is>
      </c>
      <c r="I309" s="38" t="inlineStr">
        <is>
          <t>마나우스항 (Porto de Manaus / Chibatao) (BRMAO)</t>
        </is>
      </c>
      <c r="J309" s="49" t="n">
        <v>0.126</v>
      </c>
      <c r="K309" s="49" t="n">
        <v>0.126</v>
      </c>
      <c r="L309" s="37" t="inlineStr">
        <is>
          <t>N</t>
        </is>
      </c>
      <c r="M309" s="39" t="inlineStr">
        <is>
          <t>-</t>
        </is>
      </c>
      <c r="N309" s="49" t="n">
        <v>0</v>
      </c>
      <c r="O309" s="50">
        <f>IF(L309="Y",K309,J309)+N309</f>
        <v/>
      </c>
      <c r="P309" s="38" t="inlineStr">
        <is>
          <t>마나우스항 통관: Mercosur TEC 12.6% (마나우스 ZFM 88% 감면 시 1.51%)</t>
        </is>
      </c>
    </row>
    <row r="310" ht="15" customHeight="1" s="32">
      <c r="A310" s="43" t="inlineStr">
        <is>
          <t>EPS</t>
        </is>
      </c>
      <c r="B310" s="43" t="inlineStr">
        <is>
          <t>Resin</t>
        </is>
      </c>
      <c r="C310" s="45" t="inlineStr">
        <is>
          <t>EPS (발포 폴리스티렌)</t>
        </is>
      </c>
      <c r="D310" s="43" t="inlineStr">
        <is>
          <t>HS 3903.11</t>
        </is>
      </c>
      <c r="E310" s="43" t="inlineStr">
        <is>
          <t>TH</t>
        </is>
      </c>
      <c r="F310" s="44" t="inlineStr">
        <is>
          <t>태국</t>
        </is>
      </c>
      <c r="G310" s="43" t="inlineStr">
        <is>
          <t>EG</t>
        </is>
      </c>
      <c r="H310" s="44" t="inlineStr">
        <is>
          <t>이집트 (카이로)</t>
        </is>
      </c>
      <c r="I310" s="44" t="inlineStr">
        <is>
          <t>아인소크나항 (Ain Sokhna) / 알렉산드리아항 (EGSOK / EGALY)</t>
        </is>
      </c>
      <c r="J310" s="51" t="n">
        <v>0.05</v>
      </c>
      <c r="K310" s="51" t="n">
        <v>0.05</v>
      </c>
      <c r="L310" s="43" t="inlineStr">
        <is>
          <t>N</t>
        </is>
      </c>
      <c r="M310" s="45" t="inlineStr">
        <is>
          <t>-</t>
        </is>
      </c>
      <c r="N310" s="51" t="n">
        <v>0</v>
      </c>
      <c r="O310" s="52">
        <f>IF(L310="Y",K310,J310)+N310</f>
        <v/>
      </c>
      <c r="P310" s="44" t="inlineStr">
        <is>
          <t>아인소크나항(EGSOK)-&gt;카이로: 이집트 합성수지(HS 3902/3903) MFN 기본관세 5.0% 적용</t>
        </is>
      </c>
    </row>
    <row r="311" ht="15" customHeight="1" s="32">
      <c r="A311" s="37" t="inlineStr">
        <is>
          <t>EPS</t>
        </is>
      </c>
      <c r="B311" s="37" t="inlineStr">
        <is>
          <t>Resin</t>
        </is>
      </c>
      <c r="C311" s="39" t="inlineStr">
        <is>
          <t>EPS (발포 폴리스티렌)</t>
        </is>
      </c>
      <c r="D311" s="37" t="inlineStr">
        <is>
          <t>HS 3903.11</t>
        </is>
      </c>
      <c r="E311" s="37" t="inlineStr">
        <is>
          <t>TH</t>
        </is>
      </c>
      <c r="F311" s="38" t="inlineStr">
        <is>
          <t>태국</t>
        </is>
      </c>
      <c r="G311" s="37" t="inlineStr">
        <is>
          <t>US</t>
        </is>
      </c>
      <c r="H311" s="38" t="inlineStr">
        <is>
          <t>미국 (클락스빌)</t>
        </is>
      </c>
      <c r="I311" s="38" t="inlineStr">
        <is>
          <t>서배너항 (Savannah) / 찰스턴항 + 철도Ramp (USSAV / USCHS)</t>
        </is>
      </c>
      <c r="J311" s="49" t="n">
        <v>0.065</v>
      </c>
      <c r="K311" s="49" t="n">
        <v>0.065</v>
      </c>
      <c r="L311" s="37" t="inlineStr">
        <is>
          <t>N</t>
        </is>
      </c>
      <c r="M311" s="39" t="inlineStr">
        <is>
          <t>-</t>
        </is>
      </c>
      <c r="N311" s="49" t="n">
        <v>0.125</v>
      </c>
      <c r="O311" s="50">
        <f>IF(L311="Y",K311,J311)+N311</f>
        <v/>
      </c>
      <c r="P311" s="38" t="inlineStr">
        <is>
          <t>서배너항-&gt;클락스빌: MFN 6.5% + 2026.7 미국 301조(태국산 +12.5%p) 합산 19.0%</t>
        </is>
      </c>
    </row>
    <row r="312" ht="15" customHeight="1" s="32">
      <c r="A312" s="43" t="inlineStr">
        <is>
          <t>EPS</t>
        </is>
      </c>
      <c r="B312" s="43" t="inlineStr">
        <is>
          <t>Resin</t>
        </is>
      </c>
      <c r="C312" s="45" t="inlineStr">
        <is>
          <t>EPS (발포 폴리스티렌)</t>
        </is>
      </c>
      <c r="D312" s="43" t="inlineStr">
        <is>
          <t>HS 3903.11</t>
        </is>
      </c>
      <c r="E312" s="43" t="inlineStr">
        <is>
          <t>TH</t>
        </is>
      </c>
      <c r="F312" s="44" t="inlineStr">
        <is>
          <t>태국</t>
        </is>
      </c>
      <c r="G312" s="43" t="inlineStr">
        <is>
          <t>NO</t>
        </is>
      </c>
      <c r="H312" s="44" t="inlineStr">
        <is>
          <t>노르웨이 (오슬로)</t>
        </is>
      </c>
      <c r="I312" s="44" t="inlineStr">
        <is>
          <t>오슬로항 (Port of Oslo) (NOOSL)</t>
        </is>
      </c>
      <c r="J312" s="51" t="n">
        <v>0</v>
      </c>
      <c r="K312" s="51" t="n">
        <v>0</v>
      </c>
      <c r="L312" s="43" t="inlineStr">
        <is>
          <t>N</t>
        </is>
      </c>
      <c r="M312" s="44" t="inlineStr">
        <is>
          <t>노르웨이 공산품 무관세 (한-EFTA 등)</t>
        </is>
      </c>
      <c r="N312" s="51" t="n">
        <v>0</v>
      </c>
      <c r="O312" s="52">
        <f>IF(L312="Y",K312,J312)+N312</f>
        <v/>
      </c>
      <c r="P312" s="44" t="inlineStr">
        <is>
          <t>오슬로항(NOOSL) 통관: 노르웨이 관세청(Tolltariffen) 철강·합성수지 전 품목 MFN 0% 무관세</t>
        </is>
      </c>
    </row>
    <row r="313" ht="15" customHeight="1" s="32">
      <c r="A313" s="37" t="inlineStr">
        <is>
          <t>EPS</t>
        </is>
      </c>
      <c r="B313" s="37" t="inlineStr">
        <is>
          <t>Resin</t>
        </is>
      </c>
      <c r="C313" s="39" t="inlineStr">
        <is>
          <t>EPS (발포 폴리스티렌)</t>
        </is>
      </c>
      <c r="D313" s="37" t="inlineStr">
        <is>
          <t>HS 3903.11</t>
        </is>
      </c>
      <c r="E313" s="37" t="inlineStr">
        <is>
          <t>IN</t>
        </is>
      </c>
      <c r="F313" s="38" t="inlineStr">
        <is>
          <t>인도</t>
        </is>
      </c>
      <c r="G313" s="37" t="inlineStr">
        <is>
          <t>KR</t>
        </is>
      </c>
      <c r="H313" s="38" t="inlineStr">
        <is>
          <t>한국 (부산)</t>
        </is>
      </c>
      <c r="I313" s="38" t="inlineStr">
        <is>
          <t>부산항 (Port of Busan) (KRPUS)</t>
        </is>
      </c>
      <c r="J313" s="49" t="n">
        <v>0.065</v>
      </c>
      <c r="K313" s="49" t="n">
        <v>0</v>
      </c>
      <c r="L313" s="37" t="inlineStr">
        <is>
          <t>Y</t>
        </is>
      </c>
      <c r="M313" s="38" t="inlineStr">
        <is>
          <t>한-인도 CEPA</t>
        </is>
      </c>
      <c r="N313" s="49" t="n">
        <v>0</v>
      </c>
      <c r="O313" s="50">
        <f>IF(L313="Y",K313,J313)+N313</f>
        <v/>
      </c>
      <c r="P313" s="38" t="inlineStr">
        <is>
          <t>부산항 통관: 한-인도 CEPA 0% 양허</t>
        </is>
      </c>
    </row>
    <row r="314" ht="15" customHeight="1" s="32">
      <c r="A314" s="43" t="inlineStr">
        <is>
          <t>EPS</t>
        </is>
      </c>
      <c r="B314" s="43" t="inlineStr">
        <is>
          <t>Resin</t>
        </is>
      </c>
      <c r="C314" s="45" t="inlineStr">
        <is>
          <t>EPS (발포 폴리스티렌)</t>
        </is>
      </c>
      <c r="D314" s="43" t="inlineStr">
        <is>
          <t>HS 3903.11</t>
        </is>
      </c>
      <c r="E314" s="43" t="inlineStr">
        <is>
          <t>IN</t>
        </is>
      </c>
      <c r="F314" s="44" t="inlineStr">
        <is>
          <t>인도</t>
        </is>
      </c>
      <c r="G314" s="43" t="inlineStr">
        <is>
          <t>CN</t>
        </is>
      </c>
      <c r="H314" s="44" t="inlineStr">
        <is>
          <t>중국 (천진)</t>
        </is>
      </c>
      <c r="I314" s="44" t="inlineStr">
        <is>
          <t>천진 신강항 (Tianjin Xingang) (CNTSN)</t>
        </is>
      </c>
      <c r="J314" s="51" t="n">
        <v>0.065</v>
      </c>
      <c r="K314" s="51" t="n">
        <v>0.065</v>
      </c>
      <c r="L314" s="43" t="inlineStr">
        <is>
          <t>N</t>
        </is>
      </c>
      <c r="M314" s="45" t="inlineStr">
        <is>
          <t>-</t>
        </is>
      </c>
      <c r="N314" s="51" t="n">
        <v>0</v>
      </c>
      <c r="O314" s="52">
        <f>IF(L314="Y",K314,J314)+N314</f>
        <v/>
      </c>
      <c r="P314" s="45" t="inlineStr">
        <is>
          <t>WTO/WITS 일반 MFN 세율 적용</t>
        </is>
      </c>
    </row>
    <row r="315" ht="15" customHeight="1" s="32">
      <c r="A315" s="37" t="inlineStr">
        <is>
          <t>EPS</t>
        </is>
      </c>
      <c r="B315" s="37" t="inlineStr">
        <is>
          <t>Resin</t>
        </is>
      </c>
      <c r="C315" s="39" t="inlineStr">
        <is>
          <t>EPS (발포 폴리스티렌)</t>
        </is>
      </c>
      <c r="D315" s="37" t="inlineStr">
        <is>
          <t>HS 3903.11</t>
        </is>
      </c>
      <c r="E315" s="37" t="inlineStr">
        <is>
          <t>IN</t>
        </is>
      </c>
      <c r="F315" s="38" t="inlineStr">
        <is>
          <t>인도</t>
        </is>
      </c>
      <c r="G315" s="37" t="inlineStr">
        <is>
          <t>IN_NOI</t>
        </is>
      </c>
      <c r="H315" s="38" t="inlineStr">
        <is>
          <t>인도 (노이다)</t>
        </is>
      </c>
      <c r="I315" s="38" t="inlineStr">
        <is>
          <t>문드라항 (Mundra) + ICD 다드리 (INMUN-&gt;INDAD)</t>
        </is>
      </c>
      <c r="J315" s="49" t="n">
        <v>0</v>
      </c>
      <c r="K315" s="49" t="n">
        <v>0</v>
      </c>
      <c r="L315" s="37" t="inlineStr">
        <is>
          <t>N</t>
        </is>
      </c>
      <c r="M315" s="38" t="inlineStr">
        <is>
          <t>내수 조달 (관세 없음)</t>
        </is>
      </c>
      <c r="N315" s="49" t="n">
        <v>0</v>
      </c>
      <c r="O315" s="50">
        <f>IF(L315="Y",K315,J315)+N315</f>
        <v/>
      </c>
      <c r="P315" s="38" t="inlineStr">
        <is>
          <t>동일 국가 내 조달 (노이다 (Noida, Delhi NCR) 직송, 수입관세 면제)</t>
        </is>
      </c>
    </row>
    <row r="316" ht="15" customHeight="1" s="32">
      <c r="A316" s="43" t="inlineStr">
        <is>
          <t>EPS</t>
        </is>
      </c>
      <c r="B316" s="43" t="inlineStr">
        <is>
          <t>Resin</t>
        </is>
      </c>
      <c r="C316" s="45" t="inlineStr">
        <is>
          <t>EPS (발포 폴리스티렌)</t>
        </is>
      </c>
      <c r="D316" s="43" t="inlineStr">
        <is>
          <t>HS 3903.11</t>
        </is>
      </c>
      <c r="E316" s="43" t="inlineStr">
        <is>
          <t>IN</t>
        </is>
      </c>
      <c r="F316" s="44" t="inlineStr">
        <is>
          <t>인도</t>
        </is>
      </c>
      <c r="G316" s="43" t="inlineStr">
        <is>
          <t>IN_PUN</t>
        </is>
      </c>
      <c r="H316" s="44" t="inlineStr">
        <is>
          <t>인도 (푸네)</t>
        </is>
      </c>
      <c r="I316" s="44" t="inlineStr">
        <is>
          <t>나바셰바항 (JNPT Mumbai) (INNSA)</t>
        </is>
      </c>
      <c r="J316" s="51" t="n">
        <v>0</v>
      </c>
      <c r="K316" s="51" t="n">
        <v>0</v>
      </c>
      <c r="L316" s="43" t="inlineStr">
        <is>
          <t>N</t>
        </is>
      </c>
      <c r="M316" s="44" t="inlineStr">
        <is>
          <t>내수 조달 (관세 없음)</t>
        </is>
      </c>
      <c r="N316" s="51" t="n">
        <v>0</v>
      </c>
      <c r="O316" s="52">
        <f>IF(L316="Y",K316,J316)+N316</f>
        <v/>
      </c>
      <c r="P316" s="44" t="inlineStr">
        <is>
          <t>동일 국가 내 조달 (푸네 (Pune, Maharashtra) 직송, 수입관세 면제)</t>
        </is>
      </c>
    </row>
    <row r="317" ht="15" customHeight="1" s="32">
      <c r="A317" s="37" t="inlineStr">
        <is>
          <t>EPS</t>
        </is>
      </c>
      <c r="B317" s="37" t="inlineStr">
        <is>
          <t>Resin</t>
        </is>
      </c>
      <c r="C317" s="39" t="inlineStr">
        <is>
          <t>EPS (발포 폴리스티렌)</t>
        </is>
      </c>
      <c r="D317" s="37" t="inlineStr">
        <is>
          <t>HS 3903.11</t>
        </is>
      </c>
      <c r="E317" s="37" t="inlineStr">
        <is>
          <t>IN</t>
        </is>
      </c>
      <c r="F317" s="38" t="inlineStr">
        <is>
          <t>인도</t>
        </is>
      </c>
      <c r="G317" s="37" t="inlineStr">
        <is>
          <t>TH</t>
        </is>
      </c>
      <c r="H317" s="38" t="inlineStr">
        <is>
          <t>태국 (람차방)</t>
        </is>
      </c>
      <c r="I317" s="38" t="inlineStr">
        <is>
          <t>람차방항 (Laem Chabang) (THLCH)</t>
        </is>
      </c>
      <c r="J317" s="49" t="n">
        <v>0.05</v>
      </c>
      <c r="K317" s="49" t="n">
        <v>0</v>
      </c>
      <c r="L317" s="37" t="inlineStr">
        <is>
          <t>Y</t>
        </is>
      </c>
      <c r="M317" s="39" t="inlineStr">
        <is>
          <t>ASEAN-인도 FTA</t>
        </is>
      </c>
      <c r="N317" s="49" t="n">
        <v>0</v>
      </c>
      <c r="O317" s="50">
        <f>IF(L317="Y",K317,J317)+N317</f>
        <v/>
      </c>
      <c r="P317" s="38" t="inlineStr">
        <is>
          <t>람차방항 통관: 아세안 역외 FTA 합성수지 0% 양허</t>
        </is>
      </c>
    </row>
    <row r="318" ht="15" customHeight="1" s="32">
      <c r="A318" s="43" t="inlineStr">
        <is>
          <t>EPS</t>
        </is>
      </c>
      <c r="B318" s="43" t="inlineStr">
        <is>
          <t>Resin</t>
        </is>
      </c>
      <c r="C318" s="45" t="inlineStr">
        <is>
          <t>EPS (발포 폴리스티렌)</t>
        </is>
      </c>
      <c r="D318" s="43" t="inlineStr">
        <is>
          <t>HS 3903.11</t>
        </is>
      </c>
      <c r="E318" s="43" t="inlineStr">
        <is>
          <t>IN</t>
        </is>
      </c>
      <c r="F318" s="44" t="inlineStr">
        <is>
          <t>인도</t>
        </is>
      </c>
      <c r="G318" s="43" t="inlineStr">
        <is>
          <t>ID</t>
        </is>
      </c>
      <c r="H318" s="44" t="inlineStr">
        <is>
          <t>인니 (자카르타)</t>
        </is>
      </c>
      <c r="I318" s="44" t="inlineStr">
        <is>
          <t>탄중프리옥항 (Tanjung Priok) (IDJKT)</t>
        </is>
      </c>
      <c r="J318" s="51" t="n">
        <v>0.1</v>
      </c>
      <c r="K318" s="51" t="n">
        <v>0.05</v>
      </c>
      <c r="L318" s="43" t="inlineStr">
        <is>
          <t>Y</t>
        </is>
      </c>
      <c r="M318" s="44" t="inlineStr">
        <is>
          <t>인도-ASEAN FTA</t>
        </is>
      </c>
      <c r="N318" s="51" t="n">
        <v>0</v>
      </c>
      <c r="O318" s="52">
        <f>IF(L318="Y",K318,J318)+N318</f>
        <v/>
      </c>
      <c r="P318" s="44" t="inlineStr">
        <is>
          <t>탄중프리옥항 통관: 인도-아세안 FTA 양허세율 적용</t>
        </is>
      </c>
    </row>
    <row r="319" ht="15" customHeight="1" s="32">
      <c r="A319" s="37" t="inlineStr">
        <is>
          <t>EPS</t>
        </is>
      </c>
      <c r="B319" s="37" t="inlineStr">
        <is>
          <t>Resin</t>
        </is>
      </c>
      <c r="C319" s="39" t="inlineStr">
        <is>
          <t>EPS (발포 폴리스티렌)</t>
        </is>
      </c>
      <c r="D319" s="37" t="inlineStr">
        <is>
          <t>HS 3903.11</t>
        </is>
      </c>
      <c r="E319" s="37" t="inlineStr">
        <is>
          <t>IN</t>
        </is>
      </c>
      <c r="F319" s="38" t="inlineStr">
        <is>
          <t>인도</t>
        </is>
      </c>
      <c r="G319" s="37" t="inlineStr">
        <is>
          <t>SA</t>
        </is>
      </c>
      <c r="H319" s="38" t="inlineStr">
        <is>
          <t>사우디 (제다)</t>
        </is>
      </c>
      <c r="I319" s="38" t="inlineStr">
        <is>
          <t>제다 이슬람항 (Jeddah Islamic Port) (SAJED)</t>
        </is>
      </c>
      <c r="J319" s="49" t="n">
        <v>0.05</v>
      </c>
      <c r="K319" s="49" t="n">
        <v>0.05</v>
      </c>
      <c r="L319" s="37" t="inlineStr">
        <is>
          <t>N</t>
        </is>
      </c>
      <c r="M319" s="39" t="inlineStr">
        <is>
          <t>-</t>
        </is>
      </c>
      <c r="N319" s="49" t="n">
        <v>0</v>
      </c>
      <c r="O319" s="50">
        <f>IF(L319="Y",K319,J319)+N319</f>
        <v/>
      </c>
      <c r="P319" s="38" t="inlineStr">
        <is>
          <t>제다 이슬람항 통관: GCC 공동관세율(CET) 기본 5.0% 적용</t>
        </is>
      </c>
    </row>
    <row r="320" ht="15" customHeight="1" s="32">
      <c r="A320" s="43" t="inlineStr">
        <is>
          <t>EPS</t>
        </is>
      </c>
      <c r="B320" s="43" t="inlineStr">
        <is>
          <t>Resin</t>
        </is>
      </c>
      <c r="C320" s="45" t="inlineStr">
        <is>
          <t>EPS (발포 폴리스티렌)</t>
        </is>
      </c>
      <c r="D320" s="43" t="inlineStr">
        <is>
          <t>HS 3903.11</t>
        </is>
      </c>
      <c r="E320" s="43" t="inlineStr">
        <is>
          <t>IN</t>
        </is>
      </c>
      <c r="F320" s="44" t="inlineStr">
        <is>
          <t>인도</t>
        </is>
      </c>
      <c r="G320" s="43" t="inlineStr">
        <is>
          <t>BR</t>
        </is>
      </c>
      <c r="H320" s="44" t="inlineStr">
        <is>
          <t>브라질 (마나우스)</t>
        </is>
      </c>
      <c r="I320" s="44" t="inlineStr">
        <is>
          <t>마나우스항 (Porto de Manaus / Chibatao) (BRMAO)</t>
        </is>
      </c>
      <c r="J320" s="51" t="n">
        <v>0.126</v>
      </c>
      <c r="K320" s="51" t="n">
        <v>0.126</v>
      </c>
      <c r="L320" s="43" t="inlineStr">
        <is>
          <t>N</t>
        </is>
      </c>
      <c r="M320" s="45" t="inlineStr">
        <is>
          <t>-</t>
        </is>
      </c>
      <c r="N320" s="51" t="n">
        <v>0</v>
      </c>
      <c r="O320" s="52">
        <f>IF(L320="Y",K320,J320)+N320</f>
        <v/>
      </c>
      <c r="P320" s="44" t="inlineStr">
        <is>
          <t>마나우스항 통관: Mercosur TEC 12.6% (마나우스 ZFM 88% 감면 시 1.51%)</t>
        </is>
      </c>
    </row>
    <row r="321" ht="15" customHeight="1" s="32">
      <c r="A321" s="37" t="inlineStr">
        <is>
          <t>EPS</t>
        </is>
      </c>
      <c r="B321" s="37" t="inlineStr">
        <is>
          <t>Resin</t>
        </is>
      </c>
      <c r="C321" s="39" t="inlineStr">
        <is>
          <t>EPS (발포 폴리스티렌)</t>
        </is>
      </c>
      <c r="D321" s="37" t="inlineStr">
        <is>
          <t>HS 3903.11</t>
        </is>
      </c>
      <c r="E321" s="37" t="inlineStr">
        <is>
          <t>IN</t>
        </is>
      </c>
      <c r="F321" s="38" t="inlineStr">
        <is>
          <t>인도</t>
        </is>
      </c>
      <c r="G321" s="37" t="inlineStr">
        <is>
          <t>EG</t>
        </is>
      </c>
      <c r="H321" s="38" t="inlineStr">
        <is>
          <t>이집트 (카이로)</t>
        </is>
      </c>
      <c r="I321" s="38" t="inlineStr">
        <is>
          <t>아인소크나항 (Ain Sokhna) / 알렉산드리아항 (EGSOK / EGALY)</t>
        </is>
      </c>
      <c r="J321" s="49" t="n">
        <v>0.05</v>
      </c>
      <c r="K321" s="49" t="n">
        <v>0.05</v>
      </c>
      <c r="L321" s="37" t="inlineStr">
        <is>
          <t>N</t>
        </is>
      </c>
      <c r="M321" s="39" t="inlineStr">
        <is>
          <t>-</t>
        </is>
      </c>
      <c r="N321" s="49" t="n">
        <v>0</v>
      </c>
      <c r="O321" s="50">
        <f>IF(L321="Y",K321,J321)+N321</f>
        <v/>
      </c>
      <c r="P321" s="38" t="inlineStr">
        <is>
          <t>아인소크나항(EGSOK)-&gt;카이로: 이집트 합성수지(HS 3902/3903) MFN 기본관세 5.0% 적용</t>
        </is>
      </c>
    </row>
    <row r="322" ht="15" customHeight="1" s="32">
      <c r="A322" s="43" t="inlineStr">
        <is>
          <t>EPS</t>
        </is>
      </c>
      <c r="B322" s="43" t="inlineStr">
        <is>
          <t>Resin</t>
        </is>
      </c>
      <c r="C322" s="45" t="inlineStr">
        <is>
          <t>EPS (발포 폴리스티렌)</t>
        </is>
      </c>
      <c r="D322" s="43" t="inlineStr">
        <is>
          <t>HS 3903.11</t>
        </is>
      </c>
      <c r="E322" s="43" t="inlineStr">
        <is>
          <t>IN</t>
        </is>
      </c>
      <c r="F322" s="44" t="inlineStr">
        <is>
          <t>인도</t>
        </is>
      </c>
      <c r="G322" s="43" t="inlineStr">
        <is>
          <t>US</t>
        </is>
      </c>
      <c r="H322" s="44" t="inlineStr">
        <is>
          <t>미국 (클락스빌)</t>
        </is>
      </c>
      <c r="I322" s="44" t="inlineStr">
        <is>
          <t>서배너항 (Savannah) / 찰스턴항 + 철도Ramp (USSAV / USCHS)</t>
        </is>
      </c>
      <c r="J322" s="51" t="n">
        <v>0.065</v>
      </c>
      <c r="K322" s="51" t="n">
        <v>0.065</v>
      </c>
      <c r="L322" s="43" t="inlineStr">
        <is>
          <t>N</t>
        </is>
      </c>
      <c r="M322" s="45" t="inlineStr">
        <is>
          <t>-</t>
        </is>
      </c>
      <c r="N322" s="51" t="n">
        <v>0.1</v>
      </c>
      <c r="O322" s="52">
        <f>IF(L322="Y",K322,J322)+N322</f>
        <v/>
      </c>
      <c r="P322" s="44" t="inlineStr">
        <is>
          <t>서배너항-&gt;클락스빌: MFN 6.5% + 2026.7 미국 301조(인도산 +10.0%p) 합산 16.5%</t>
        </is>
      </c>
    </row>
    <row r="323" ht="15" customHeight="1" s="32">
      <c r="A323" s="37" t="inlineStr">
        <is>
          <t>EPS</t>
        </is>
      </c>
      <c r="B323" s="37" t="inlineStr">
        <is>
          <t>Resin</t>
        </is>
      </c>
      <c r="C323" s="39" t="inlineStr">
        <is>
          <t>EPS (발포 폴리스티렌)</t>
        </is>
      </c>
      <c r="D323" s="37" t="inlineStr">
        <is>
          <t>HS 3903.11</t>
        </is>
      </c>
      <c r="E323" s="37" t="inlineStr">
        <is>
          <t>IN</t>
        </is>
      </c>
      <c r="F323" s="38" t="inlineStr">
        <is>
          <t>인도</t>
        </is>
      </c>
      <c r="G323" s="37" t="inlineStr">
        <is>
          <t>NO</t>
        </is>
      </c>
      <c r="H323" s="38" t="inlineStr">
        <is>
          <t>노르웨이 (오슬로)</t>
        </is>
      </c>
      <c r="I323" s="38" t="inlineStr">
        <is>
          <t>오슬로항 (Port of Oslo) (NOOSL)</t>
        </is>
      </c>
      <c r="J323" s="49" t="n">
        <v>0</v>
      </c>
      <c r="K323" s="49" t="n">
        <v>0</v>
      </c>
      <c r="L323" s="37" t="inlineStr">
        <is>
          <t>N</t>
        </is>
      </c>
      <c r="M323" s="38" t="inlineStr">
        <is>
          <t>노르웨이 공산품 무관세 (한-EFTA 등)</t>
        </is>
      </c>
      <c r="N323" s="49" t="n">
        <v>0</v>
      </c>
      <c r="O323" s="50">
        <f>IF(L323="Y",K323,J323)+N323</f>
        <v/>
      </c>
      <c r="P323" s="38" t="inlineStr">
        <is>
          <t>오슬로항(NOOSL) 통관: 노르웨이 관세청(Tolltariffen) 철강·합성수지 전 품목 MFN 0% 무관세</t>
        </is>
      </c>
    </row>
    <row r="324" ht="15" customHeight="1" s="32">
      <c r="A324" s="43" t="inlineStr">
        <is>
          <t>EPS</t>
        </is>
      </c>
      <c r="B324" s="43" t="inlineStr">
        <is>
          <t>Resin</t>
        </is>
      </c>
      <c r="C324" s="45" t="inlineStr">
        <is>
          <t>EPS (발포 폴리스티렌)</t>
        </is>
      </c>
      <c r="D324" s="43" t="inlineStr">
        <is>
          <t>HS 3903.11</t>
        </is>
      </c>
      <c r="E324" s="43" t="inlineStr">
        <is>
          <t>US</t>
        </is>
      </c>
      <c r="F324" s="44" t="inlineStr">
        <is>
          <t>미국</t>
        </is>
      </c>
      <c r="G324" s="43" t="inlineStr">
        <is>
          <t>KR</t>
        </is>
      </c>
      <c r="H324" s="44" t="inlineStr">
        <is>
          <t>한국 (부산)</t>
        </is>
      </c>
      <c r="I324" s="44" t="inlineStr">
        <is>
          <t>부산항 (Port of Busan) (KRPUS)</t>
        </is>
      </c>
      <c r="J324" s="51" t="n">
        <v>0.065</v>
      </c>
      <c r="K324" s="51" t="n">
        <v>0</v>
      </c>
      <c r="L324" s="43" t="inlineStr">
        <is>
          <t>Y</t>
        </is>
      </c>
      <c r="M324" s="44" t="inlineStr">
        <is>
          <t>한-미 FTA (KORUS)</t>
        </is>
      </c>
      <c r="N324" s="51" t="n">
        <v>0</v>
      </c>
      <c r="O324" s="52">
        <f>IF(L324="Y",K324,J324)+N324</f>
        <v/>
      </c>
      <c r="P324" s="44" t="inlineStr">
        <is>
          <t>부산항 통관: KORUS 협정세율 0% 적용</t>
        </is>
      </c>
    </row>
    <row r="325" ht="15" customHeight="1" s="32">
      <c r="A325" s="37" t="inlineStr">
        <is>
          <t>EPS</t>
        </is>
      </c>
      <c r="B325" s="37" t="inlineStr">
        <is>
          <t>Resin</t>
        </is>
      </c>
      <c r="C325" s="39" t="inlineStr">
        <is>
          <t>EPS (발포 폴리스티렌)</t>
        </is>
      </c>
      <c r="D325" s="37" t="inlineStr">
        <is>
          <t>HS 3903.11</t>
        </is>
      </c>
      <c r="E325" s="37" t="inlineStr">
        <is>
          <t>US</t>
        </is>
      </c>
      <c r="F325" s="38" t="inlineStr">
        <is>
          <t>미국</t>
        </is>
      </c>
      <c r="G325" s="37" t="inlineStr">
        <is>
          <t>CN</t>
        </is>
      </c>
      <c r="H325" s="38" t="inlineStr">
        <is>
          <t>중국 (천진)</t>
        </is>
      </c>
      <c r="I325" s="38" t="inlineStr">
        <is>
          <t>천진 신강항 (Tianjin Xingang) (CNTSN)</t>
        </is>
      </c>
      <c r="J325" s="49" t="n">
        <v>0.065</v>
      </c>
      <c r="K325" s="49" t="n">
        <v>0.065</v>
      </c>
      <c r="L325" s="37" t="inlineStr">
        <is>
          <t>N</t>
        </is>
      </c>
      <c r="M325" s="39" t="inlineStr">
        <is>
          <t>-</t>
        </is>
      </c>
      <c r="N325" s="49" t="n">
        <v>0.25</v>
      </c>
      <c r="O325" s="50">
        <f>IF(L325="Y",K325,J325)+N325</f>
        <v/>
      </c>
      <c r="P325" s="38" t="inlineStr">
        <is>
          <t>천진 신강항 통관: 미·중 통상분쟁 보복관세 반영</t>
        </is>
      </c>
    </row>
    <row r="326" ht="15" customHeight="1" s="32">
      <c r="A326" s="43" t="inlineStr">
        <is>
          <t>EPS</t>
        </is>
      </c>
      <c r="B326" s="43" t="inlineStr">
        <is>
          <t>Resin</t>
        </is>
      </c>
      <c r="C326" s="45" t="inlineStr">
        <is>
          <t>EPS (발포 폴리스티렌)</t>
        </is>
      </c>
      <c r="D326" s="43" t="inlineStr">
        <is>
          <t>HS 3903.11</t>
        </is>
      </c>
      <c r="E326" s="43" t="inlineStr">
        <is>
          <t>US</t>
        </is>
      </c>
      <c r="F326" s="44" t="inlineStr">
        <is>
          <t>미국</t>
        </is>
      </c>
      <c r="G326" s="43" t="inlineStr">
        <is>
          <t>IN_NOI</t>
        </is>
      </c>
      <c r="H326" s="44" t="inlineStr">
        <is>
          <t>인도 (노이다)</t>
        </is>
      </c>
      <c r="I326" s="44" t="inlineStr">
        <is>
          <t>문드라항 (Mundra) + ICD 다드리 (INMUN-&gt;INDAD)</t>
        </is>
      </c>
      <c r="J326" s="51" t="n">
        <v>0.0825</v>
      </c>
      <c r="K326" s="51" t="n">
        <v>0.0825</v>
      </c>
      <c r="L326" s="43" t="inlineStr">
        <is>
          <t>N</t>
        </is>
      </c>
      <c r="M326" s="45" t="inlineStr">
        <is>
          <t>-</t>
        </is>
      </c>
      <c r="N326" s="51" t="n">
        <v>0</v>
      </c>
      <c r="O326" s="52">
        <f>IF(L326="Y",K326,J326)+N326</f>
        <v/>
      </c>
      <c r="P326" s="45" t="inlineStr">
        <is>
          <t>WTO/WITS 일반 MFN 세율 적용</t>
        </is>
      </c>
    </row>
    <row r="327" ht="15" customHeight="1" s="32">
      <c r="A327" s="37" t="inlineStr">
        <is>
          <t>EPS</t>
        </is>
      </c>
      <c r="B327" s="37" t="inlineStr">
        <is>
          <t>Resin</t>
        </is>
      </c>
      <c r="C327" s="39" t="inlineStr">
        <is>
          <t>EPS (발포 폴리스티렌)</t>
        </is>
      </c>
      <c r="D327" s="37" t="inlineStr">
        <is>
          <t>HS 3903.11</t>
        </is>
      </c>
      <c r="E327" s="37" t="inlineStr">
        <is>
          <t>US</t>
        </is>
      </c>
      <c r="F327" s="38" t="inlineStr">
        <is>
          <t>미국</t>
        </is>
      </c>
      <c r="G327" s="37" t="inlineStr">
        <is>
          <t>IN_PUN</t>
        </is>
      </c>
      <c r="H327" s="38" t="inlineStr">
        <is>
          <t>인도 (푸네)</t>
        </is>
      </c>
      <c r="I327" s="38" t="inlineStr">
        <is>
          <t>나바셰바항 (JNPT Mumbai) (INNSA)</t>
        </is>
      </c>
      <c r="J327" s="49" t="n">
        <v>0.0825</v>
      </c>
      <c r="K327" s="49" t="n">
        <v>0.0825</v>
      </c>
      <c r="L327" s="37" t="inlineStr">
        <is>
          <t>N</t>
        </is>
      </c>
      <c r="M327" s="39" t="inlineStr">
        <is>
          <t>-</t>
        </is>
      </c>
      <c r="N327" s="49" t="n">
        <v>0</v>
      </c>
      <c r="O327" s="50">
        <f>IF(L327="Y",K327,J327)+N327</f>
        <v/>
      </c>
      <c r="P327" s="39" t="inlineStr">
        <is>
          <t>WTO/WITS 일반 MFN 세율 적용</t>
        </is>
      </c>
    </row>
    <row r="328" ht="15" customHeight="1" s="32">
      <c r="A328" s="43" t="inlineStr">
        <is>
          <t>EPS</t>
        </is>
      </c>
      <c r="B328" s="43" t="inlineStr">
        <is>
          <t>Resin</t>
        </is>
      </c>
      <c r="C328" s="45" t="inlineStr">
        <is>
          <t>EPS (발포 폴리스티렌)</t>
        </is>
      </c>
      <c r="D328" s="43" t="inlineStr">
        <is>
          <t>HS 3903.11</t>
        </is>
      </c>
      <c r="E328" s="43" t="inlineStr">
        <is>
          <t>US</t>
        </is>
      </c>
      <c r="F328" s="44" t="inlineStr">
        <is>
          <t>미국</t>
        </is>
      </c>
      <c r="G328" s="43" t="inlineStr">
        <is>
          <t>TH</t>
        </is>
      </c>
      <c r="H328" s="44" t="inlineStr">
        <is>
          <t>태국 (람차방)</t>
        </is>
      </c>
      <c r="I328" s="44" t="inlineStr">
        <is>
          <t>람차방항 (Laem Chabang) (THLCH)</t>
        </is>
      </c>
      <c r="J328" s="51" t="n">
        <v>0.05</v>
      </c>
      <c r="K328" s="51" t="n">
        <v>0.05</v>
      </c>
      <c r="L328" s="43" t="inlineStr">
        <is>
          <t>N</t>
        </is>
      </c>
      <c r="M328" s="45" t="inlineStr">
        <is>
          <t>-</t>
        </is>
      </c>
      <c r="N328" s="51" t="n">
        <v>0</v>
      </c>
      <c r="O328" s="52">
        <f>IF(L328="Y",K328,J328)+N328</f>
        <v/>
      </c>
      <c r="P328" s="45" t="inlineStr">
        <is>
          <t>WTO/WITS 일반 MFN 세율 적용</t>
        </is>
      </c>
    </row>
    <row r="329" ht="15" customHeight="1" s="32">
      <c r="A329" s="37" t="inlineStr">
        <is>
          <t>EPS</t>
        </is>
      </c>
      <c r="B329" s="37" t="inlineStr">
        <is>
          <t>Resin</t>
        </is>
      </c>
      <c r="C329" s="39" t="inlineStr">
        <is>
          <t>EPS (발포 폴리스티렌)</t>
        </is>
      </c>
      <c r="D329" s="37" t="inlineStr">
        <is>
          <t>HS 3903.11</t>
        </is>
      </c>
      <c r="E329" s="37" t="inlineStr">
        <is>
          <t>US</t>
        </is>
      </c>
      <c r="F329" s="38" t="inlineStr">
        <is>
          <t>미국</t>
        </is>
      </c>
      <c r="G329" s="37" t="inlineStr">
        <is>
          <t>ID</t>
        </is>
      </c>
      <c r="H329" s="38" t="inlineStr">
        <is>
          <t>인니 (자카르타)</t>
        </is>
      </c>
      <c r="I329" s="38" t="inlineStr">
        <is>
          <t>탄중프리옥항 (Tanjung Priok) (IDJKT)</t>
        </is>
      </c>
      <c r="J329" s="49" t="n">
        <v>0.1</v>
      </c>
      <c r="K329" s="49" t="n">
        <v>0.1</v>
      </c>
      <c r="L329" s="37" t="inlineStr">
        <is>
          <t>N</t>
        </is>
      </c>
      <c r="M329" s="39" t="inlineStr">
        <is>
          <t>-</t>
        </is>
      </c>
      <c r="N329" s="49" t="n">
        <v>0</v>
      </c>
      <c r="O329" s="50">
        <f>IF(L329="Y",K329,J329)+N329</f>
        <v/>
      </c>
      <c r="P329" s="39" t="inlineStr">
        <is>
          <t>WTO/WITS 일반 MFN 세율 적용</t>
        </is>
      </c>
    </row>
    <row r="330" ht="15" customHeight="1" s="32">
      <c r="A330" s="43" t="inlineStr">
        <is>
          <t>EPS</t>
        </is>
      </c>
      <c r="B330" s="43" t="inlineStr">
        <is>
          <t>Resin</t>
        </is>
      </c>
      <c r="C330" s="45" t="inlineStr">
        <is>
          <t>EPS (발포 폴리스티렌)</t>
        </is>
      </c>
      <c r="D330" s="43" t="inlineStr">
        <is>
          <t>HS 3903.11</t>
        </is>
      </c>
      <c r="E330" s="43" t="inlineStr">
        <is>
          <t>US</t>
        </is>
      </c>
      <c r="F330" s="44" t="inlineStr">
        <is>
          <t>미국</t>
        </is>
      </c>
      <c r="G330" s="43" t="inlineStr">
        <is>
          <t>SA</t>
        </is>
      </c>
      <c r="H330" s="44" t="inlineStr">
        <is>
          <t>사우디 (제다)</t>
        </is>
      </c>
      <c r="I330" s="44" t="inlineStr">
        <is>
          <t>제다 이슬람항 (Jeddah Islamic Port) (SAJED)</t>
        </is>
      </c>
      <c r="J330" s="51" t="n">
        <v>0.05</v>
      </c>
      <c r="K330" s="51" t="n">
        <v>0.05</v>
      </c>
      <c r="L330" s="43" t="inlineStr">
        <is>
          <t>N</t>
        </is>
      </c>
      <c r="M330" s="45" t="inlineStr">
        <is>
          <t>-</t>
        </is>
      </c>
      <c r="N330" s="51" t="n">
        <v>0</v>
      </c>
      <c r="O330" s="52">
        <f>IF(L330="Y",K330,J330)+N330</f>
        <v/>
      </c>
      <c r="P330" s="44" t="inlineStr">
        <is>
          <t>제다 이슬람항 통관: GCC 공동관세율(CET) 기본 5.0% 적용</t>
        </is>
      </c>
    </row>
    <row r="331" ht="15" customHeight="1" s="32">
      <c r="A331" s="37" t="inlineStr">
        <is>
          <t>EPS</t>
        </is>
      </c>
      <c r="B331" s="37" t="inlineStr">
        <is>
          <t>Resin</t>
        </is>
      </c>
      <c r="C331" s="39" t="inlineStr">
        <is>
          <t>EPS (발포 폴리스티렌)</t>
        </is>
      </c>
      <c r="D331" s="37" t="inlineStr">
        <is>
          <t>HS 3903.11</t>
        </is>
      </c>
      <c r="E331" s="37" t="inlineStr">
        <is>
          <t>US</t>
        </is>
      </c>
      <c r="F331" s="38" t="inlineStr">
        <is>
          <t>미국</t>
        </is>
      </c>
      <c r="G331" s="37" t="inlineStr">
        <is>
          <t>BR</t>
        </is>
      </c>
      <c r="H331" s="38" t="inlineStr">
        <is>
          <t>브라질 (마나우스)</t>
        </is>
      </c>
      <c r="I331" s="38" t="inlineStr">
        <is>
          <t>마나우스항 (Porto de Manaus / Chibatao) (BRMAO)</t>
        </is>
      </c>
      <c r="J331" s="49" t="n">
        <v>0.126</v>
      </c>
      <c r="K331" s="49" t="n">
        <v>0.126</v>
      </c>
      <c r="L331" s="37" t="inlineStr">
        <is>
          <t>N</t>
        </is>
      </c>
      <c r="M331" s="39" t="inlineStr">
        <is>
          <t>-</t>
        </is>
      </c>
      <c r="N331" s="49" t="n">
        <v>0</v>
      </c>
      <c r="O331" s="50">
        <f>IF(L331="Y",K331,J331)+N331</f>
        <v/>
      </c>
      <c r="P331" s="38" t="inlineStr">
        <is>
          <t>마나우스항 통관: Mercosur TEC 12.6% (마나우스 ZFM 88% 감면 시 1.51%)</t>
        </is>
      </c>
    </row>
    <row r="332" ht="15" customHeight="1" s="32">
      <c r="A332" s="43" t="inlineStr">
        <is>
          <t>EPS</t>
        </is>
      </c>
      <c r="B332" s="43" t="inlineStr">
        <is>
          <t>Resin</t>
        </is>
      </c>
      <c r="C332" s="45" t="inlineStr">
        <is>
          <t>EPS (발포 폴리스티렌)</t>
        </is>
      </c>
      <c r="D332" s="43" t="inlineStr">
        <is>
          <t>HS 3903.11</t>
        </is>
      </c>
      <c r="E332" s="43" t="inlineStr">
        <is>
          <t>US</t>
        </is>
      </c>
      <c r="F332" s="44" t="inlineStr">
        <is>
          <t>미국</t>
        </is>
      </c>
      <c r="G332" s="43" t="inlineStr">
        <is>
          <t>EG</t>
        </is>
      </c>
      <c r="H332" s="44" t="inlineStr">
        <is>
          <t>이집트 (카이로)</t>
        </is>
      </c>
      <c r="I332" s="44" t="inlineStr">
        <is>
          <t>아인소크나항 (Ain Sokhna) / 알렉산드리아항 (EGSOK / EGALY)</t>
        </is>
      </c>
      <c r="J332" s="51" t="n">
        <v>0.05</v>
      </c>
      <c r="K332" s="51" t="n">
        <v>0.05</v>
      </c>
      <c r="L332" s="43" t="inlineStr">
        <is>
          <t>N</t>
        </is>
      </c>
      <c r="M332" s="45" t="inlineStr">
        <is>
          <t>-</t>
        </is>
      </c>
      <c r="N332" s="51" t="n">
        <v>0</v>
      </c>
      <c r="O332" s="52">
        <f>IF(L332="Y",K332,J332)+N332</f>
        <v/>
      </c>
      <c r="P332" s="44" t="inlineStr">
        <is>
          <t>알렉산드리아항(EGALY)-&gt;카이로: 이집트 합성수지(HS 3902/3903) MFN 기본관세 5.0% 적용</t>
        </is>
      </c>
    </row>
    <row r="333" ht="15" customHeight="1" s="32">
      <c r="A333" s="37" t="inlineStr">
        <is>
          <t>EPS</t>
        </is>
      </c>
      <c r="B333" s="37" t="inlineStr">
        <is>
          <t>Resin</t>
        </is>
      </c>
      <c r="C333" s="39" t="inlineStr">
        <is>
          <t>EPS (발포 폴리스티렌)</t>
        </is>
      </c>
      <c r="D333" s="37" t="inlineStr">
        <is>
          <t>HS 3903.11</t>
        </is>
      </c>
      <c r="E333" s="37" t="inlineStr">
        <is>
          <t>US</t>
        </is>
      </c>
      <c r="F333" s="38" t="inlineStr">
        <is>
          <t>미국</t>
        </is>
      </c>
      <c r="G333" s="37" t="inlineStr">
        <is>
          <t>US</t>
        </is>
      </c>
      <c r="H333" s="38" t="inlineStr">
        <is>
          <t>미국 (클락스빌)</t>
        </is>
      </c>
      <c r="I333" s="38" t="inlineStr">
        <is>
          <t>서배너항 (Savannah) / 찰스턴항 + 철도Ramp (USSAV / USCHS)</t>
        </is>
      </c>
      <c r="J333" s="49" t="n">
        <v>0</v>
      </c>
      <c r="K333" s="49" t="n">
        <v>0</v>
      </c>
      <c r="L333" s="37" t="inlineStr">
        <is>
          <t>N</t>
        </is>
      </c>
      <c r="M333" s="38" t="inlineStr">
        <is>
          <t>내수 조달 (관세 없음)</t>
        </is>
      </c>
      <c r="N333" s="49" t="n">
        <v>0</v>
      </c>
      <c r="O333" s="50">
        <f>IF(L333="Y",K333,J333)+N333</f>
        <v/>
      </c>
      <c r="P333" s="38" t="inlineStr">
        <is>
          <t>동일 국가 내 조달 (클락스빌 (Clarksville, TN) 직송, 수입관세 면제)</t>
        </is>
      </c>
    </row>
    <row r="334" ht="15" customHeight="1" s="32">
      <c r="A334" s="43" t="inlineStr">
        <is>
          <t>EPS</t>
        </is>
      </c>
      <c r="B334" s="43" t="inlineStr">
        <is>
          <t>Resin</t>
        </is>
      </c>
      <c r="C334" s="45" t="inlineStr">
        <is>
          <t>EPS (발포 폴리스티렌)</t>
        </is>
      </c>
      <c r="D334" s="43" t="inlineStr">
        <is>
          <t>HS 3903.11</t>
        </is>
      </c>
      <c r="E334" s="43" t="inlineStr">
        <is>
          <t>US</t>
        </is>
      </c>
      <c r="F334" s="44" t="inlineStr">
        <is>
          <t>미국</t>
        </is>
      </c>
      <c r="G334" s="43" t="inlineStr">
        <is>
          <t>NO</t>
        </is>
      </c>
      <c r="H334" s="44" t="inlineStr">
        <is>
          <t>노르웨이 (오슬로)</t>
        </is>
      </c>
      <c r="I334" s="44" t="inlineStr">
        <is>
          <t>오슬로항 (Port of Oslo) (NOOSL)</t>
        </is>
      </c>
      <c r="J334" s="51" t="n">
        <v>0</v>
      </c>
      <c r="K334" s="51" t="n">
        <v>0</v>
      </c>
      <c r="L334" s="43" t="inlineStr">
        <is>
          <t>N</t>
        </is>
      </c>
      <c r="M334" s="44" t="inlineStr">
        <is>
          <t>노르웨이 공산품 무관세 (한-EFTA 등)</t>
        </is>
      </c>
      <c r="N334" s="51" t="n">
        <v>0</v>
      </c>
      <c r="O334" s="52">
        <f>IF(L334="Y",K334,J334)+N334</f>
        <v/>
      </c>
      <c r="P334" s="44" t="inlineStr">
        <is>
          <t>오슬로항(NOOSL) 통관: 노르웨이 관세청(Tolltariffen) 철강·합성수지 전 품목 MFN 0% 무관세</t>
        </is>
      </c>
    </row>
  </sheetData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14" customWidth="1" style="31" min="2" max="2"/>
    <col width="33" customWidth="1" style="31" min="3" max="3"/>
    <col width="38" customWidth="1" style="31" min="4" max="4"/>
    <col width="17" customWidth="1" style="31" min="5" max="5"/>
    <col width="23" customWidth="1" style="31" min="6" max="6"/>
    <col width="19" customWidth="1" style="31" min="7" max="7"/>
  </cols>
  <sheetData>
    <row r="1" ht="25.5" customHeight="1" s="32">
      <c r="A1" s="33" t="inlineStr">
        <is>
          <t>글로벌 10개국 11개 법인 최종 목적지(공장 거점) 및 인근 기준 항구(Port of Discharge) 매핑표</t>
        </is>
      </c>
    </row>
    <row r="2" ht="18.75" customHeight="1" s="32">
      <c r="A2" s="34" t="inlineStr">
        <is>
          <t>인도 노이다(문드라항+ICD 다드리)·푸네(나바셰바항) 분리 및 마나우스(아마존 하천항)·클락스빌(미 동안 서배너항+철도Ramp)·카이로(아인소크나/알렉산드리아항) 반영</t>
        </is>
      </c>
    </row>
    <row r="4" ht="24" customHeight="1" s="32">
      <c r="A4" s="59" t="inlineStr">
        <is>
          <t>거점코드</t>
        </is>
      </c>
      <c r="B4" s="59" t="inlineStr">
        <is>
          <t>법인거점명</t>
        </is>
      </c>
      <c r="C4" s="59" t="inlineStr">
        <is>
          <t>최종목적지(공장도시)</t>
        </is>
      </c>
      <c r="D4" s="59" t="inlineStr">
        <is>
          <t>인근기준도착항(POD)</t>
        </is>
      </c>
      <c r="E4" s="60" t="inlineStr">
        <is>
          <t>UN_LOCODE</t>
        </is>
      </c>
      <c r="F4" s="59" t="inlineStr">
        <is>
          <t>항구-공장거리</t>
        </is>
      </c>
      <c r="G4" s="59" t="inlineStr">
        <is>
          <t>내륙운송참고단가($/Box)</t>
        </is>
      </c>
    </row>
    <row r="5" ht="15" customHeight="1" s="32">
      <c r="A5" s="37" t="inlineStr">
        <is>
          <t>KR</t>
        </is>
      </c>
      <c r="B5" s="61" t="inlineStr">
        <is>
          <t>한국 (부산)</t>
        </is>
      </c>
      <c r="C5" s="38" t="inlineStr">
        <is>
          <t>부산 (Busan)</t>
        </is>
      </c>
      <c r="D5" s="61" t="inlineStr">
        <is>
          <t>부산항 (Port of Busan)</t>
        </is>
      </c>
      <c r="E5" s="37" t="inlineStr">
        <is>
          <t>KRPUS</t>
        </is>
      </c>
      <c r="F5" s="39" t="inlineStr">
        <is>
          <t>25km (항만직결)</t>
        </is>
      </c>
      <c r="G5" s="40" t="n">
        <v>220</v>
      </c>
    </row>
    <row r="6" ht="15" customHeight="1" s="32">
      <c r="A6" s="43" t="inlineStr">
        <is>
          <t>CN</t>
        </is>
      </c>
      <c r="B6" s="62" t="inlineStr">
        <is>
          <t>중국 (천진)</t>
        </is>
      </c>
      <c r="C6" s="44" t="inlineStr">
        <is>
          <t>천진 (Tianjin)</t>
        </is>
      </c>
      <c r="D6" s="62" t="inlineStr">
        <is>
          <t>천진 신강항 (Tianjin Xingang)</t>
        </is>
      </c>
      <c r="E6" s="43" t="inlineStr">
        <is>
          <t>CNTSN</t>
        </is>
      </c>
      <c r="F6" s="45" t="inlineStr">
        <is>
          <t>45km (항만직결)</t>
        </is>
      </c>
      <c r="G6" s="46" t="n">
        <v>240</v>
      </c>
    </row>
    <row r="7" ht="15" customHeight="1" s="32">
      <c r="A7" s="37" t="inlineStr">
        <is>
          <t>IN_NOI</t>
        </is>
      </c>
      <c r="B7" s="61" t="inlineStr">
        <is>
          <t>인도 (노이다)</t>
        </is>
      </c>
      <c r="C7" s="38" t="inlineStr">
        <is>
          <t>노이다 (Noida, Delhi NCR)</t>
        </is>
      </c>
      <c r="D7" s="61" t="inlineStr">
        <is>
          <t>문드라항 (Mundra) + ICD 다드리</t>
        </is>
      </c>
      <c r="E7" s="37" t="inlineStr">
        <is>
          <t>INMUN-&gt;INDAD</t>
        </is>
      </c>
      <c r="F7" s="38" t="inlineStr">
        <is>
          <t>약 1,150km (철도ICD)</t>
        </is>
      </c>
      <c r="G7" s="40" t="n">
        <v>960</v>
      </c>
    </row>
    <row r="8" ht="15" customHeight="1" s="32">
      <c r="A8" s="43" t="inlineStr">
        <is>
          <t>IN_PUN</t>
        </is>
      </c>
      <c r="B8" s="62" t="inlineStr">
        <is>
          <t>인도 (푸네)</t>
        </is>
      </c>
      <c r="C8" s="44" t="inlineStr">
        <is>
          <t>푸네 (Pune, Maharashtra)</t>
        </is>
      </c>
      <c r="D8" s="62" t="inlineStr">
        <is>
          <t>나바셰바항 (JNPT Mumbai)</t>
        </is>
      </c>
      <c r="E8" s="43" t="inlineStr">
        <is>
          <t>INNSA</t>
        </is>
      </c>
      <c r="F8" s="45" t="inlineStr">
        <is>
          <t>150km (고속도로)</t>
        </is>
      </c>
      <c r="G8" s="46" t="n">
        <v>380</v>
      </c>
    </row>
    <row r="9" ht="15" customHeight="1" s="32">
      <c r="A9" s="37" t="inlineStr">
        <is>
          <t>TH</t>
        </is>
      </c>
      <c r="B9" s="61" t="inlineStr">
        <is>
          <t>태국 (람차방)</t>
        </is>
      </c>
      <c r="C9" s="38" t="inlineStr">
        <is>
          <t>람차방 / 라용 (Laem Chabang)</t>
        </is>
      </c>
      <c r="D9" s="61" t="inlineStr">
        <is>
          <t>람차방항 (Laem Chabang)</t>
        </is>
      </c>
      <c r="E9" s="37" t="inlineStr">
        <is>
          <t>THLCH</t>
        </is>
      </c>
      <c r="F9" s="39" t="inlineStr">
        <is>
          <t>30km (항만직결)</t>
        </is>
      </c>
      <c r="G9" s="40" t="n">
        <v>210</v>
      </c>
    </row>
    <row r="10" ht="15" customHeight="1" s="32">
      <c r="A10" s="43" t="inlineStr">
        <is>
          <t>ID</t>
        </is>
      </c>
      <c r="B10" s="62" t="inlineStr">
        <is>
          <t>인니 (자카르타)</t>
        </is>
      </c>
      <c r="C10" s="44" t="inlineStr">
        <is>
          <t>자카르타 (Jakarta / Cibitung)</t>
        </is>
      </c>
      <c r="D10" s="62" t="inlineStr">
        <is>
          <t>탄중프리옥항 (Tanjung Priok)</t>
        </is>
      </c>
      <c r="E10" s="43" t="inlineStr">
        <is>
          <t>IDJKT</t>
        </is>
      </c>
      <c r="F10" s="45" t="inlineStr">
        <is>
          <t>40km (수도권산단)</t>
        </is>
      </c>
      <c r="G10" s="46" t="n">
        <v>260</v>
      </c>
    </row>
    <row r="11" ht="15" customHeight="1" s="32">
      <c r="A11" s="37" t="inlineStr">
        <is>
          <t>SA</t>
        </is>
      </c>
      <c r="B11" s="61" t="inlineStr">
        <is>
          <t>사우디 (제다)</t>
        </is>
      </c>
      <c r="C11" s="38" t="inlineStr">
        <is>
          <t>제다 (Jeddah)</t>
        </is>
      </c>
      <c r="D11" s="61" t="inlineStr">
        <is>
          <t>제다 이슬람항 (Jeddah Islamic Port)</t>
        </is>
      </c>
      <c r="E11" s="37" t="inlineStr">
        <is>
          <t>SAJED</t>
        </is>
      </c>
      <c r="F11" s="39" t="inlineStr">
        <is>
          <t>25km (항만직결)</t>
        </is>
      </c>
      <c r="G11" s="40" t="n">
        <v>250</v>
      </c>
    </row>
    <row r="12" ht="15" customHeight="1" s="32">
      <c r="A12" s="43" t="inlineStr">
        <is>
          <t>BR</t>
        </is>
      </c>
      <c r="B12" s="62" t="inlineStr">
        <is>
          <t>브라질 (마나우스)</t>
        </is>
      </c>
      <c r="C12" s="44" t="inlineStr">
        <is>
          <t>마나우스 (Manaus, Amazonas)</t>
        </is>
      </c>
      <c r="D12" s="62" t="inlineStr">
        <is>
          <t>마나우스항 (Porto de Manaus / Chibatao)</t>
        </is>
      </c>
      <c r="E12" s="43" t="inlineStr">
        <is>
          <t>BRMAO</t>
        </is>
      </c>
      <c r="F12" s="45" t="inlineStr">
        <is>
          <t>15km (아마존하천항)</t>
        </is>
      </c>
      <c r="G12" s="46" t="n">
        <v>280</v>
      </c>
    </row>
    <row r="13" ht="15" customHeight="1" s="32">
      <c r="A13" s="37" t="inlineStr">
        <is>
          <t>EG</t>
        </is>
      </c>
      <c r="B13" s="61" t="inlineStr">
        <is>
          <t>이집트 (카이로)</t>
        </is>
      </c>
      <c r="C13" s="38" t="inlineStr">
        <is>
          <t>카이로 (Cairo / 10th of Ramadan)</t>
        </is>
      </c>
      <c r="D13" s="61" t="inlineStr">
        <is>
          <t>아인소크나항 (Ain Sokhna) / 알렉산드리아항</t>
        </is>
      </c>
      <c r="E13" s="37" t="inlineStr">
        <is>
          <t>EGSOK / EGALY</t>
        </is>
      </c>
      <c r="F13" s="39" t="inlineStr">
        <is>
          <t>120km (소크나-&gt;카이로)</t>
        </is>
      </c>
      <c r="G13" s="40" t="n">
        <v>350</v>
      </c>
    </row>
    <row r="14" ht="15" customHeight="1" s="32">
      <c r="A14" s="43" t="inlineStr">
        <is>
          <t>US</t>
        </is>
      </c>
      <c r="B14" s="62" t="inlineStr">
        <is>
          <t>미국 (클락스빌)</t>
        </is>
      </c>
      <c r="C14" s="44" t="inlineStr">
        <is>
          <t>클락스빌 (Clarksville, TN)</t>
        </is>
      </c>
      <c r="D14" s="62" t="inlineStr">
        <is>
          <t>서배너항 (Savannah) / 찰스턴항 + 철도Ramp</t>
        </is>
      </c>
      <c r="E14" s="43" t="inlineStr">
        <is>
          <t>USSAV / USCHS</t>
        </is>
      </c>
      <c r="F14" s="44" t="inlineStr">
        <is>
          <t>약 720km (IPI 철도+트럭)</t>
        </is>
      </c>
      <c r="G14" s="46" t="n">
        <v>1350</v>
      </c>
    </row>
    <row r="15" ht="15" customHeight="1" s="32">
      <c r="A15" s="37" t="inlineStr">
        <is>
          <t>NO</t>
        </is>
      </c>
      <c r="B15" s="61" t="inlineStr">
        <is>
          <t>노르웨이 (오슬로)</t>
        </is>
      </c>
      <c r="C15" s="38" t="inlineStr">
        <is>
          <t>오슬로 (Oslo)</t>
        </is>
      </c>
      <c r="D15" s="61" t="inlineStr">
        <is>
          <t>오슬로항 (Port of Oslo)</t>
        </is>
      </c>
      <c r="E15" s="37" t="inlineStr">
        <is>
          <t>NOOSL</t>
        </is>
      </c>
      <c r="F15" s="39" t="inlineStr">
        <is>
          <t>20km (항만직결)</t>
        </is>
      </c>
      <c r="G15" s="40" t="n">
        <v>290</v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8" customWidth="1" style="32" min="1" max="1"/>
    <col width="20" customWidth="1" style="32" min="2" max="2"/>
    <col width="32" customWidth="1" style="32" min="3" max="3"/>
    <col width="22" customWidth="1" style="32" min="4" max="4"/>
    <col width="34" customWidth="1" style="32" min="5" max="5"/>
    <col width="32" customWidth="1" style="32" min="6" max="6"/>
    <col width="48" customWidth="1" style="32" min="7" max="7"/>
    <col width="36" customWidth="1" style="32" min="8" max="8"/>
  </cols>
  <sheetData>
    <row r="1" ht="28" customHeight="1" s="32">
      <c r="A1" s="63" t="inlineStr">
        <is>
          <t>글로벌 11개 법인 거점별 보세구역(Bonded Zone/FTZ)·수출가공·용도별 반덤핑(AD/CVD/232조) 면제 규정 총괄표 (2026 Q4)</t>
        </is>
      </c>
    </row>
    <row r="2" ht="24" customHeight="1" s="32">
      <c r="A2" s="64" t="inlineStr">
        <is>
          <t>법인 거점</t>
        </is>
      </c>
      <c r="B2" s="64" t="inlineStr">
        <is>
          <t>인근 기준항(POD)</t>
        </is>
      </c>
      <c r="C2" s="64" t="inlineStr">
        <is>
          <t>적용 보세·투자진흥·면세 제도명</t>
        </is>
      </c>
      <c r="D2" s="64" t="inlineStr">
        <is>
          <t>기본관세(MFN) 면제 여부</t>
        </is>
      </c>
      <c r="E2" s="64" t="inlineStr">
        <is>
          <t>반덤핑(AD/CVD)·특별관세 면제 여부</t>
        </is>
      </c>
      <c r="F2" s="64" t="inlineStr">
        <is>
          <t>AD 면제 시 최적 소싱처 변화 (GI 기준)</t>
        </is>
      </c>
      <c r="G2" s="64" t="inlineStr">
        <is>
          <t>면제 적용 핵심 요건 및 주의사항</t>
        </is>
      </c>
      <c r="H2" s="64" t="inlineStr">
        <is>
          <t>법적 근거 및 검증 출처</t>
        </is>
      </c>
    </row>
    <row r="3" ht="46" customHeight="1" s="32">
      <c r="A3" s="65" t="inlineStr">
        <is>
          <t>태국 (람차방/라용)</t>
        </is>
      </c>
      <c r="B3" s="66" t="inlineStr">
        <is>
          <t>람차방항 (THLCH)</t>
        </is>
      </c>
      <c r="C3" s="65" t="inlineStr">
        <is>
          <t>① 태국 DFT 가전·전기전자·자동차 제조용 직권 AD 면제
② BOI Section 36 (수출용 원재료 면세)
③ IEAT / Customs Free Zone (보세구역)</t>
        </is>
      </c>
      <c r="D3" s="66" t="inlineStr">
        <is>
          <t>면제 (0%)
(ACFTA/AKFTA 및 보세구역)</t>
        </is>
      </c>
      <c r="E3" s="67" t="inlineStr">
        <is>
          <t>★ AD 전액 면제 가능 (0%)
(중국산 GI 35.5%·PCM 29.8% 및 한국산 AD 면제)</t>
        </is>
      </c>
      <c r="F3" s="66" t="inlineStr">
        <is>
          <t>태국 내수($789) ➔ 중국산($727, -$62/MT 절감 1위 역전)</t>
        </is>
      </c>
      <c r="G3" s="66" t="inlineStr">
        <is>
          <t>태국 DFT 고시상 전기·전자(가전) 제조용 도금·컬러강판은 내수/수출 무관하게 실수요자 용도증명 시 AD 면제되며, BOI Sec.36 또는 보세구역(Free Zone) 반입 수출용 원재료도 AD 전액 면제</t>
        </is>
      </c>
      <c r="H3" s="66" t="inlineStr">
        <is>
          <t>Thailand DFT AD Notice (2026.9 연장고시 가전용 예외) / Thailand Customs Act Sec.97 / BOI Sec.36</t>
        </is>
      </c>
    </row>
    <row r="4" ht="46" customHeight="1" s="32">
      <c r="A4" s="68" t="inlineStr">
        <is>
          <t>인도네시아 (자카르타)</t>
        </is>
      </c>
      <c r="B4" s="69" t="inlineStr">
        <is>
          <t>탄중프리옥항 (IDJKT)</t>
        </is>
      </c>
      <c r="C4" s="68" t="inlineStr">
        <is>
          <t>① Kawasan Berikat (KB, 보세구역)
② KITE Pembebasan (수출목적 수입원자재 면세)</t>
        </is>
      </c>
      <c r="D4" s="69" t="inlineStr">
        <is>
          <t>면제 (0%)
(보세구역 유예 및 FTA 0%)</t>
        </is>
      </c>
      <c r="E4" s="67" t="inlineStr">
        <is>
          <t>★ 수출용 보세 반입 시 AD(BMAD) 면제 (0%)
(중국산 도금·컬러강판 AD 18% 및 세이프가드 면제)</t>
        </is>
      </c>
      <c r="F4" s="69" t="inlineStr">
        <is>
          <t>태국산($818) ➔ 중국산($734, -$84/MT 절감 1위 역전)</t>
        </is>
      </c>
      <c r="G4" s="69" t="inlineStr">
        <is>
          <t>KB(보세공장) 반입 또는 KITE 면세 취득 후 완제품 수출 시 BMAD(반덤핑) 및 세이프가드 전액 면제. 단, 인니 내수 시장 판매분(한도 내 출고분)은 출고 시점에 관세·AD 정산 납부</t>
        </is>
      </c>
      <c r="H4" s="69" t="inlineStr">
        <is>
          <t>인니 재무부령(PMK) Kawasan Berikat &amp; KITE Exemption / KADI 반덤핑 규정</t>
        </is>
      </c>
    </row>
    <row r="5" ht="46" customHeight="1" s="32">
      <c r="A5" s="65" t="inlineStr">
        <is>
          <t>인도 (노이다 / 푸네)</t>
        </is>
      </c>
      <c r="B5" s="66" t="inlineStr">
        <is>
          <t>문드라항(ICD다드리) /
나바셰바항(INNSA)</t>
        </is>
      </c>
      <c r="C5" s="65" t="inlineStr">
        <is>
          <t>① Advance Authorisation (AA, 사전수출면허)
② SEZ (특별경제구역) / EOU (수출지향기업)</t>
        </is>
      </c>
      <c r="D5" s="66" t="inlineStr">
        <is>
          <t>수출용 면제 (0%)
(인도 내수용은 한-인도 CEPA 0% 활용)</t>
        </is>
      </c>
      <c r="E5" s="67" t="inlineStr">
        <is>
          <t>★ 수출용(AA·SEZ·EOU)에 한해 AD·CVD·QCO 면제 (0%)
(인도 내수 판매용 DTA 물량은 중국산 AD 18.5% 부과)</t>
        </is>
      </c>
      <c r="F5" s="66" t="inlineStr">
        <is>
          <t>수출용 면제 시 인도 내수($735~$740)와 중국산($750~$757) 경합</t>
        </is>
      </c>
      <c r="G5" s="66" t="inlineStr">
        <is>
          <t>DGFT Advance Authorisation 또는 SEZ/EOU 자격으로 수입 후 수출의무(EO) 이행 시 기본관세(BCD)·반덤핑(AD)·철강 BIS 품질인증(QCO)까지 면제. 인도 내수 판매분은 면제 불가</t>
        </is>
      </c>
      <c r="H5" s="66" t="inlineStr">
        <is>
          <t>India Foreign Trade Policy (FTP 2023) / DGFT Notification No. 69/2023 &amp; Appendix 2Y</t>
        </is>
      </c>
    </row>
    <row r="6" ht="46" customHeight="1" s="32">
      <c r="A6" s="68" t="inlineStr">
        <is>
          <t>한국 (부산)</t>
        </is>
      </c>
      <c r="B6" s="69" t="inlineStr">
        <is>
          <t>부산항 (KRPUS)</t>
        </is>
      </c>
      <c r="C6" s="68" t="inlineStr">
        <is>
          <t>① 보세공장 제도 (관세법 제185조)
② 수출용 원재료 관세환급특례법</t>
        </is>
      </c>
      <c r="D6" s="69" t="inlineStr">
        <is>
          <t>면제 (0%)
(WTO 철강 무관세 및 FTA)</t>
        </is>
      </c>
      <c r="E6" s="67" t="inlineStr">
        <is>
          <t>★ 해외 재수출 물량에 한해 중국산 AD(25.75%) 면제/환급
(국내 내수 판매용 가전 투입분은 AD 22.34~33.67% 부과)</t>
        </is>
      </c>
      <c r="F6" s="69" t="inlineStr">
        <is>
          <t>내수용은 한국산($756) 1위 / 수출용 보세 반입 시 중국산($677) 1위</t>
        </is>
      </c>
      <c r="G6" s="69" t="inlineStr">
        <is>
          <t>보세공장 반입 후 해외로 재수출하는 완제품용 원재료는 중국산 도금·컬러강판 AD(22.34~33.67%)가 부과되지 않으나, 2026년 관세청 보세공장 우회수입 단속 강화로 국내 반입분은 전액 부과</t>
        </is>
      </c>
      <c r="H6" s="69" t="inlineStr">
        <is>
          <t>대한민국 관세법 제185조(보세공장) / 재정경제부고시 제2026-80호(2026.6.12)</t>
        </is>
      </c>
    </row>
    <row r="7" ht="46" customHeight="1" s="32">
      <c r="A7" s="65" t="inlineStr">
        <is>
          <t>브라질 (마나우스)</t>
        </is>
      </c>
      <c r="B7" s="66" t="inlineStr">
        <is>
          <t>마나우스항 (BRMAO)</t>
        </is>
      </c>
      <c r="C7" s="65" t="inlineStr">
        <is>
          <t>① 마나우스 자유무역지대 (ZFM / SUFRAMA)
② Drawback (수출용 관세유예)</t>
        </is>
      </c>
      <c r="D7" s="66" t="inlineStr">
        <is>
          <t>★ ZFM 기본관세(II) 88% 감면
(철강 14.4%➔1.73%, 수지 12.6%➔1.51%)</t>
        </is>
      </c>
      <c r="E7" s="70" t="inlineStr">
        <is>
          <t>⚠️ ZFM 내수용은 반덤핑(AD) 면제 불가 (100% 부과)
(중국산 GI AD +48%, 인도산 PCM AD +36% 그대로 부과)</t>
        </is>
      </c>
      <c r="F7" s="66" t="inlineStr">
        <is>
          <t>ZFM 적용 시 AD 미대상인 한국산 GI($1,103)·PCM($1,287) 압도적 1위</t>
        </is>
      </c>
      <c r="G7" s="66" t="inlineStr">
        <is>
          <t>마나우스 ZFM(SUFRAMA)은 브라질 내수 판매용 제조(PPB 충족) 시 기본 수입관세(II)를 88% 감면해주나, 반덤핑 관세(Direito Antidumping)는 감면 대상에서 제외되어 중국·인도산 철강에 그대로 부과됨</t>
        </is>
      </c>
      <c r="H7" s="66" t="inlineStr">
        <is>
          <t>Brazil SUFRAMA Decree-Law 288/1967 / Secex·CAMEX Anti-Dumping Resolutions (2026)</t>
        </is>
      </c>
    </row>
    <row r="8" ht="46" customHeight="1" s="32">
      <c r="A8" s="68" t="inlineStr">
        <is>
          <t>미국 (클락스빌)</t>
        </is>
      </c>
      <c r="B8" s="69" t="inlineStr">
        <is>
          <t>서배너/찰스턴항
(USSAV/USCHS)</t>
        </is>
      </c>
      <c r="C8" s="68" t="inlineStr">
        <is>
          <t>① 미국 대외무역지대 (US FTZ, Foreign-Trade Zone)</t>
        </is>
      </c>
      <c r="D8" s="69" t="inlineStr">
        <is>
          <t>일반 부품 관세 유예/역관세 혜택 가능</t>
        </is>
      </c>
      <c r="E8" s="70" t="inlineStr">
        <is>
          <t>🚫 FTZ 반입 시에도 철강 232조(50%)·301조·AD/CVD 면제 불가
(Privileged Foreign Status 의무 반입)</t>
        </is>
      </c>
      <c r="F8" s="69" t="inlineStr">
        <is>
          <t>외산 232조(+50%) 면제 불가로 미국 내수 조달(GI $984) 단독 1위</t>
        </is>
      </c>
      <c r="G8" s="69" t="inlineStr">
        <is>
          <t>미국 무역확장법 232조·통상법 301조·AD/CVD 대상 품목은 FTZ(보세구역) 반입 시 '특권외국물품(PF Status)'으로 고정되어, 미국 내수 출고 시 원재료 기준 232조(50%) 및 AD/CVD 전액 부과 (관세환급 Drawback도 불가)</t>
        </is>
      </c>
      <c r="H8" s="69" t="inlineStr">
        <is>
          <t>19 CFR § 146.41 (Privileged Foreign Status) / US Section 232 Proclamation (2025~2026)</t>
        </is>
      </c>
    </row>
    <row r="9" ht="46" customHeight="1" s="32">
      <c r="A9" s="65" t="inlineStr">
        <is>
          <t>이집트 (카이로)</t>
        </is>
      </c>
      <c r="B9" s="66" t="inlineStr">
        <is>
          <t>아인소크나/알렉산드리아
(EGSOK/EGALY)</t>
        </is>
      </c>
      <c r="C9" s="65" t="inlineStr">
        <is>
          <t>① 수에즈운하 경제특구 (SCZONE)
② GAFI Free Zone / Special Drawback</t>
        </is>
      </c>
      <c r="D9" s="66" t="inlineStr">
        <is>
          <t>수출가공용 면제 (0%)</t>
        </is>
      </c>
      <c r="E9" s="67" t="inlineStr">
        <is>
          <t>★ Free Zone / SCZONE 수출가공 시 관세·AD 면제 (0%)
(이집트 내수 통관 시 기본관세 12% + 중국산 AD 15% 부과)</t>
        </is>
      </c>
      <c r="F9" s="66" t="inlineStr">
        <is>
          <t>일반통관 시 인도산($1,008) 1위 / 보세수출 시 중국산($899)·인도산($864) 우위</t>
        </is>
      </c>
      <c r="G9" s="66" t="inlineStr">
        <is>
          <t>유럽·중동 수출용 가전 생산을 위해 Free Zone 또는 임시수입(Drawback) 반입 시 관세 및 반덤핑세 면제</t>
        </is>
      </c>
      <c r="H9" s="66" t="inlineStr">
        <is>
          <t>Egypt Investment Law No. 72/2017 (Free Zones) / SCZONE Law No. 83/2002</t>
        </is>
      </c>
    </row>
    <row r="10" ht="46" customHeight="1" s="32">
      <c r="A10" s="68" t="inlineStr">
        <is>
          <t>중국 (천진)</t>
        </is>
      </c>
      <c r="B10" s="69" t="inlineStr">
        <is>
          <t>천진 신강항 (CNTSN)</t>
        </is>
      </c>
      <c r="C10" s="68" t="inlineStr">
        <is>
          <t>① 보세구 / 수출가공구 (진료가공·래료가공 수책)</t>
        </is>
      </c>
      <c r="D10" s="69" t="inlineStr">
        <is>
          <t>수출가공(진료가공) 면제 (0%)</t>
        </is>
      </c>
      <c r="E10" s="67" t="inlineStr">
        <is>
          <t>★ 보세수책(진료가공) 반입 후 재수출 시 관세·보복관세 면제 (0%)</t>
        </is>
      </c>
      <c r="F10" s="69" t="inlineStr">
        <is>
          <t>중국 내수 조달(GI $670, ABS $1,327) 상시 1위</t>
        </is>
      </c>
      <c r="G10" s="69" t="inlineStr">
        <is>
          <t>해외 수출용 완제품 제조를 위한 진료가공(Processing Trade) 보세수책 등록 시 수입관세 및 대미 보복관세 보세 면제</t>
        </is>
      </c>
      <c r="H10" s="69" t="inlineStr">
        <is>
          <t>중국 해관총서 가공무역 보세감독관리 규정</t>
        </is>
      </c>
    </row>
    <row r="11" ht="46" customHeight="1" s="32">
      <c r="A11" s="65" t="inlineStr">
        <is>
          <t>사우디 (제다) / 노르웨이 (오슬로)</t>
        </is>
      </c>
      <c r="B11" s="66" t="inlineStr">
        <is>
          <t>제다항 (SAJED) /
오슬로항 (NOOSL)</t>
        </is>
      </c>
      <c r="C11" s="65" t="inlineStr">
        <is>
          <t>① 사우디 특별경제구역(SEZ) 및 한-GCC FTA
② 노르웨이 공산품 무관세(0%)</t>
        </is>
      </c>
      <c r="D11" s="66" t="inlineStr">
        <is>
          <t>사우디 SEZ 유예 / 노르웨이 기본 0%</t>
        </is>
      </c>
      <c r="E11" s="67" t="inlineStr">
        <is>
          <t>현재 철강·수지 주요 품목 별도 반덤핑(AD) 부과 없음</t>
        </is>
      </c>
      <c r="F11" s="66" t="inlineStr">
        <is>
          <t>제다는 인도산(최단거리 해운), 오슬로는 중국·인도산 상시 1위</t>
        </is>
      </c>
      <c r="G11" s="66" t="inlineStr">
        <is>
          <t>노르웨이는 기본관세 및 AD가 모두 0%이며, 사우디는 SEZ 반입 또는 한-GCC FTA 활용 가능</t>
        </is>
      </c>
      <c r="H11" s="66" t="inlineStr">
        <is>
          <t>Saudi ZATCA SEZ Rules / Norway Tolltariffen (0% MFN)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2026-10-15T02:37:13Z</dcterms:created>
  <dcterms:modified xmlns:dcterms="http://purl.org/dc/terms/" xmlns:xsi="http://www.w3.org/2001/XMLSchema-instance" xsi:type="dcterms:W3CDTF">2026-10-15T17:02:49Z</dcterms:modified>
  <cp:revision>0</cp:revision>
</cp:coreProperties>
</file>